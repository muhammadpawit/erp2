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SSON INDONESIA\Documents\3.1 Widi\29. DATA KOMISI 2021\1. 2021 Harga Terendah - Copy\"/>
    </mc:Choice>
  </mc:AlternateContent>
  <xr:revisionPtr revIDLastSave="0" documentId="8_{CA17A2B7-E16F-4DB7-8FBA-FA42DAAF526C}" xr6:coauthVersionLast="47" xr6:coauthVersionMax="47" xr10:uidLastSave="{00000000-0000-0000-0000-000000000000}"/>
  <bookViews>
    <workbookView xWindow="-120" yWindow="-120" windowWidth="20730" windowHeight="11160" xr2:uid="{0CF51E92-19D7-4C8F-936B-668F182A2C5F}"/>
  </bookViews>
  <sheets>
    <sheet name="22 Juni" sheetId="1" r:id="rId1"/>
  </sheets>
  <externalReferences>
    <externalReference r:id="rId2"/>
  </externalReferences>
  <definedNames>
    <definedName name="_xlnm._FilterDatabase" localSheetId="0" hidden="1">'22 Juni'!$A$1:$D$466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73" i="1" l="1"/>
  <c r="C473" i="1"/>
  <c r="D472" i="1"/>
  <c r="C472" i="1"/>
  <c r="D471" i="1"/>
  <c r="C471" i="1"/>
  <c r="D470" i="1"/>
  <c r="C470" i="1"/>
  <c r="D469" i="1"/>
  <c r="C469" i="1"/>
  <c r="D468" i="1"/>
  <c r="C468" i="1"/>
  <c r="D467" i="1"/>
  <c r="C467" i="1"/>
  <c r="D466" i="1"/>
  <c r="C466" i="1"/>
  <c r="D465" i="1"/>
  <c r="C465" i="1"/>
  <c r="D464" i="1"/>
  <c r="C464" i="1"/>
  <c r="D463" i="1"/>
  <c r="C463" i="1"/>
  <c r="D462" i="1"/>
  <c r="C462" i="1"/>
  <c r="D461" i="1"/>
  <c r="C461" i="1"/>
  <c r="D460" i="1"/>
  <c r="C460" i="1"/>
  <c r="D459" i="1"/>
  <c r="C459" i="1"/>
  <c r="D458" i="1"/>
  <c r="C458" i="1"/>
  <c r="D457" i="1"/>
  <c r="C457" i="1"/>
  <c r="D456" i="1"/>
  <c r="C456" i="1"/>
  <c r="D455" i="1"/>
  <c r="C455" i="1"/>
  <c r="D454" i="1"/>
  <c r="C454" i="1"/>
  <c r="D453" i="1"/>
  <c r="C453" i="1"/>
  <c r="D452" i="1"/>
  <c r="C452" i="1"/>
  <c r="D451" i="1"/>
  <c r="C451" i="1"/>
  <c r="D450" i="1"/>
  <c r="C450" i="1"/>
  <c r="D449" i="1"/>
  <c r="C449" i="1"/>
  <c r="D448" i="1"/>
  <c r="C448" i="1"/>
  <c r="D447" i="1"/>
  <c r="C447" i="1"/>
  <c r="D446" i="1"/>
  <c r="C446" i="1"/>
  <c r="D445" i="1"/>
  <c r="C445" i="1"/>
  <c r="D444" i="1"/>
  <c r="C444" i="1"/>
  <c r="D443" i="1"/>
  <c r="C443" i="1"/>
  <c r="D442" i="1"/>
  <c r="C442" i="1"/>
  <c r="D441" i="1"/>
  <c r="C441" i="1"/>
  <c r="D440" i="1"/>
  <c r="C440" i="1"/>
  <c r="D439" i="1"/>
  <c r="C439" i="1"/>
  <c r="D438" i="1"/>
  <c r="C438" i="1"/>
  <c r="D437" i="1"/>
  <c r="C437" i="1"/>
  <c r="D436" i="1"/>
  <c r="C436" i="1"/>
  <c r="D435" i="1"/>
  <c r="C435" i="1"/>
  <c r="D434" i="1"/>
  <c r="C434" i="1"/>
  <c r="D433" i="1"/>
  <c r="C433" i="1"/>
  <c r="D432" i="1"/>
  <c r="C432" i="1"/>
  <c r="D431" i="1"/>
  <c r="C431" i="1"/>
  <c r="D430" i="1"/>
  <c r="C430" i="1"/>
  <c r="D429" i="1"/>
  <c r="C429" i="1"/>
  <c r="D428" i="1"/>
  <c r="C428" i="1"/>
  <c r="D427" i="1"/>
  <c r="C427" i="1"/>
  <c r="D426" i="1"/>
  <c r="C426" i="1"/>
  <c r="D425" i="1"/>
  <c r="C425" i="1"/>
  <c r="D424" i="1"/>
  <c r="C424" i="1"/>
  <c r="D423" i="1"/>
  <c r="C423" i="1"/>
  <c r="D422" i="1"/>
  <c r="C422" i="1"/>
  <c r="D421" i="1"/>
  <c r="C421" i="1"/>
  <c r="D420" i="1"/>
  <c r="C420" i="1"/>
  <c r="D419" i="1"/>
  <c r="C419" i="1"/>
  <c r="D418" i="1"/>
  <c r="C418" i="1"/>
  <c r="D417" i="1"/>
  <c r="C417" i="1"/>
  <c r="D416" i="1"/>
  <c r="C416" i="1"/>
  <c r="D415" i="1"/>
  <c r="C415" i="1"/>
  <c r="D414" i="1"/>
  <c r="C414" i="1"/>
  <c r="D413" i="1"/>
  <c r="C413" i="1"/>
  <c r="D412" i="1"/>
  <c r="C412" i="1"/>
  <c r="D411" i="1"/>
  <c r="C411" i="1"/>
  <c r="D410" i="1"/>
  <c r="C410" i="1"/>
  <c r="D409" i="1"/>
  <c r="C409" i="1"/>
  <c r="D408" i="1"/>
  <c r="C408" i="1"/>
  <c r="D407" i="1"/>
  <c r="C407" i="1"/>
  <c r="D406" i="1"/>
  <c r="C406" i="1"/>
  <c r="D405" i="1"/>
  <c r="C405" i="1"/>
  <c r="D404" i="1"/>
  <c r="C404" i="1"/>
  <c r="D403" i="1"/>
  <c r="C403" i="1"/>
  <c r="D402" i="1"/>
  <c r="C402" i="1"/>
  <c r="D401" i="1"/>
  <c r="C401" i="1"/>
  <c r="D400" i="1"/>
  <c r="C400" i="1"/>
  <c r="D399" i="1"/>
  <c r="C399" i="1"/>
  <c r="D398" i="1"/>
  <c r="C398" i="1"/>
  <c r="D397" i="1"/>
  <c r="C397" i="1"/>
  <c r="D396" i="1"/>
  <c r="C396" i="1"/>
  <c r="D395" i="1"/>
  <c r="C395" i="1"/>
  <c r="D394" i="1"/>
  <c r="C394" i="1"/>
  <c r="D393" i="1"/>
  <c r="C393" i="1"/>
  <c r="D392" i="1"/>
  <c r="C392" i="1"/>
  <c r="D391" i="1"/>
  <c r="C391" i="1"/>
  <c r="D390" i="1"/>
  <c r="C390" i="1"/>
  <c r="D389" i="1"/>
  <c r="C389" i="1"/>
  <c r="D388" i="1"/>
  <c r="C388" i="1"/>
  <c r="D387" i="1"/>
  <c r="C387" i="1"/>
  <c r="D386" i="1"/>
  <c r="C386" i="1"/>
  <c r="D385" i="1"/>
  <c r="C385" i="1"/>
  <c r="D384" i="1"/>
  <c r="C384" i="1"/>
  <c r="D383" i="1"/>
  <c r="C383" i="1"/>
  <c r="D382" i="1"/>
  <c r="C382" i="1"/>
  <c r="D381" i="1"/>
  <c r="C381" i="1"/>
  <c r="D380" i="1"/>
  <c r="C380" i="1"/>
  <c r="D379" i="1"/>
  <c r="C379" i="1"/>
  <c r="D378" i="1"/>
  <c r="C378" i="1"/>
  <c r="D377" i="1"/>
  <c r="C377" i="1"/>
  <c r="D376" i="1"/>
  <c r="C376" i="1"/>
  <c r="D375" i="1"/>
  <c r="C375" i="1"/>
  <c r="D374" i="1"/>
  <c r="C374" i="1"/>
  <c r="D373" i="1"/>
  <c r="C373" i="1"/>
  <c r="D372" i="1"/>
  <c r="C372" i="1"/>
  <c r="D371" i="1"/>
  <c r="C371" i="1"/>
  <c r="D370" i="1"/>
  <c r="C370" i="1"/>
  <c r="D369" i="1"/>
  <c r="C369" i="1"/>
  <c r="D368" i="1"/>
  <c r="C368" i="1"/>
  <c r="D367" i="1"/>
  <c r="C367" i="1"/>
  <c r="D366" i="1"/>
  <c r="C366" i="1"/>
  <c r="D365" i="1"/>
  <c r="C365" i="1"/>
  <c r="D364" i="1"/>
  <c r="C364" i="1"/>
  <c r="D363" i="1"/>
  <c r="C363" i="1"/>
  <c r="D362" i="1"/>
  <c r="C362" i="1"/>
  <c r="D361" i="1"/>
  <c r="C361" i="1"/>
  <c r="D360" i="1"/>
  <c r="C360" i="1"/>
  <c r="D359" i="1"/>
  <c r="C359" i="1"/>
  <c r="D358" i="1"/>
  <c r="C358" i="1"/>
  <c r="D357" i="1"/>
  <c r="C357" i="1"/>
  <c r="D356" i="1"/>
  <c r="C356" i="1"/>
  <c r="D355" i="1"/>
  <c r="C355" i="1"/>
  <c r="D354" i="1"/>
  <c r="C354" i="1"/>
  <c r="D353" i="1"/>
  <c r="C353" i="1"/>
  <c r="D352" i="1"/>
  <c r="C352" i="1"/>
  <c r="D351" i="1"/>
  <c r="C351" i="1"/>
  <c r="D350" i="1"/>
  <c r="C350" i="1"/>
  <c r="D349" i="1"/>
  <c r="C349" i="1"/>
  <c r="D348" i="1"/>
  <c r="C348" i="1"/>
  <c r="D347" i="1"/>
  <c r="C347" i="1"/>
  <c r="D346" i="1"/>
  <c r="C346" i="1"/>
  <c r="D345" i="1"/>
  <c r="C345" i="1"/>
  <c r="D344" i="1"/>
  <c r="C344" i="1"/>
  <c r="D343" i="1"/>
  <c r="C343" i="1"/>
  <c r="D342" i="1"/>
  <c r="C342" i="1"/>
  <c r="D341" i="1"/>
  <c r="C341" i="1"/>
  <c r="D340" i="1"/>
  <c r="C340" i="1"/>
  <c r="D339" i="1"/>
  <c r="C339" i="1"/>
  <c r="D338" i="1"/>
  <c r="C338" i="1"/>
  <c r="D337" i="1"/>
  <c r="C337" i="1"/>
  <c r="D336" i="1"/>
  <c r="C336" i="1"/>
  <c r="D335" i="1"/>
  <c r="C335" i="1"/>
  <c r="D334" i="1"/>
  <c r="C334" i="1"/>
  <c r="D333" i="1"/>
  <c r="C333" i="1"/>
  <c r="D332" i="1"/>
  <c r="C332" i="1"/>
  <c r="D331" i="1"/>
  <c r="C331" i="1"/>
  <c r="D330" i="1"/>
  <c r="C330" i="1"/>
  <c r="D329" i="1"/>
  <c r="C329" i="1"/>
  <c r="D328" i="1"/>
  <c r="C328" i="1"/>
  <c r="D327" i="1"/>
  <c r="C327" i="1"/>
  <c r="D326" i="1"/>
  <c r="C326" i="1"/>
  <c r="D325" i="1"/>
  <c r="C325" i="1"/>
  <c r="D324" i="1"/>
  <c r="C324" i="1"/>
  <c r="D323" i="1"/>
  <c r="C323" i="1"/>
  <c r="D322" i="1"/>
  <c r="C322" i="1"/>
  <c r="D321" i="1"/>
  <c r="C321" i="1"/>
  <c r="D320" i="1"/>
  <c r="C320" i="1"/>
  <c r="D319" i="1"/>
  <c r="C319" i="1"/>
  <c r="D318" i="1"/>
  <c r="C318" i="1"/>
  <c r="D317" i="1"/>
  <c r="C317" i="1"/>
  <c r="D316" i="1"/>
  <c r="C316" i="1"/>
  <c r="D315" i="1"/>
  <c r="C315" i="1"/>
  <c r="D314" i="1"/>
  <c r="C314" i="1"/>
  <c r="D313" i="1"/>
  <c r="C313" i="1"/>
  <c r="D312" i="1"/>
  <c r="C312" i="1"/>
  <c r="D311" i="1"/>
  <c r="C311" i="1"/>
  <c r="D310" i="1"/>
  <c r="C310" i="1"/>
  <c r="D309" i="1"/>
  <c r="C309" i="1"/>
  <c r="D308" i="1"/>
  <c r="C308" i="1"/>
  <c r="D307" i="1"/>
  <c r="C307" i="1"/>
  <c r="D306" i="1"/>
  <c r="C306" i="1"/>
  <c r="D305" i="1"/>
  <c r="C305" i="1"/>
  <c r="D304" i="1"/>
  <c r="C304" i="1"/>
  <c r="D303" i="1"/>
  <c r="C303" i="1"/>
  <c r="D302" i="1"/>
  <c r="C302" i="1"/>
  <c r="D301" i="1"/>
  <c r="C301" i="1"/>
  <c r="D300" i="1"/>
  <c r="C300" i="1"/>
  <c r="D299" i="1"/>
  <c r="C299" i="1"/>
  <c r="D298" i="1"/>
  <c r="C298" i="1"/>
  <c r="D297" i="1"/>
  <c r="C297" i="1"/>
  <c r="D296" i="1"/>
  <c r="C296" i="1"/>
  <c r="D295" i="1"/>
  <c r="C295" i="1"/>
  <c r="D294" i="1"/>
  <c r="C294" i="1"/>
  <c r="D293" i="1"/>
  <c r="C293" i="1"/>
  <c r="D292" i="1"/>
  <c r="C292" i="1"/>
  <c r="D291" i="1"/>
  <c r="C291" i="1"/>
  <c r="D290" i="1"/>
  <c r="C290" i="1"/>
  <c r="D289" i="1"/>
  <c r="C289" i="1"/>
  <c r="D288" i="1"/>
  <c r="C288" i="1"/>
  <c r="D287" i="1"/>
  <c r="C287" i="1"/>
  <c r="D286" i="1"/>
  <c r="C286" i="1"/>
  <c r="D285" i="1"/>
  <c r="C285" i="1"/>
  <c r="D284" i="1"/>
  <c r="C284" i="1"/>
  <c r="D283" i="1"/>
  <c r="C283" i="1"/>
  <c r="D282" i="1"/>
  <c r="C282" i="1"/>
  <c r="D281" i="1"/>
  <c r="C281" i="1"/>
  <c r="D280" i="1"/>
  <c r="C280" i="1"/>
  <c r="D279" i="1"/>
  <c r="C279" i="1"/>
  <c r="D278" i="1"/>
  <c r="C278" i="1"/>
  <c r="D277" i="1"/>
  <c r="C277" i="1"/>
  <c r="D276" i="1"/>
  <c r="C276" i="1"/>
  <c r="D275" i="1"/>
  <c r="C275" i="1"/>
  <c r="D274" i="1"/>
  <c r="C274" i="1"/>
  <c r="D273" i="1"/>
  <c r="C273" i="1"/>
  <c r="D272" i="1"/>
  <c r="C272" i="1"/>
  <c r="D271" i="1"/>
  <c r="C271" i="1"/>
  <c r="D270" i="1"/>
  <c r="C270" i="1"/>
  <c r="D269" i="1"/>
  <c r="C269" i="1"/>
  <c r="D268" i="1"/>
  <c r="C268" i="1"/>
  <c r="D267" i="1"/>
  <c r="C267" i="1"/>
  <c r="D266" i="1"/>
  <c r="C266" i="1"/>
  <c r="D265" i="1"/>
  <c r="C265" i="1"/>
  <c r="D264" i="1"/>
  <c r="C264" i="1"/>
  <c r="D263" i="1"/>
  <c r="C263" i="1"/>
  <c r="D262" i="1"/>
  <c r="C262" i="1"/>
  <c r="D261" i="1"/>
  <c r="C261" i="1"/>
  <c r="D260" i="1"/>
  <c r="C260" i="1"/>
  <c r="D259" i="1"/>
  <c r="C259" i="1"/>
  <c r="D258" i="1"/>
  <c r="C258" i="1"/>
  <c r="D257" i="1"/>
  <c r="C257" i="1"/>
  <c r="D256" i="1"/>
  <c r="C256" i="1"/>
  <c r="D255" i="1"/>
  <c r="C255" i="1"/>
  <c r="D254" i="1"/>
  <c r="C254" i="1"/>
  <c r="D253" i="1"/>
  <c r="C253" i="1"/>
  <c r="D252" i="1"/>
  <c r="C252" i="1"/>
  <c r="D251" i="1"/>
  <c r="C251" i="1"/>
  <c r="D250" i="1"/>
  <c r="C250" i="1"/>
  <c r="D249" i="1"/>
  <c r="C249" i="1"/>
  <c r="D248" i="1"/>
  <c r="C248" i="1"/>
  <c r="D247" i="1"/>
  <c r="C247" i="1"/>
  <c r="D246" i="1"/>
  <c r="C246" i="1"/>
  <c r="D245" i="1"/>
  <c r="C245" i="1"/>
  <c r="D244" i="1"/>
  <c r="C244" i="1"/>
  <c r="D243" i="1"/>
  <c r="C243" i="1"/>
  <c r="D242" i="1"/>
  <c r="C242" i="1"/>
  <c r="D241" i="1"/>
  <c r="C241" i="1"/>
  <c r="D240" i="1"/>
  <c r="C240" i="1"/>
  <c r="D239" i="1"/>
  <c r="C239" i="1"/>
  <c r="D238" i="1"/>
  <c r="C238" i="1"/>
  <c r="D237" i="1"/>
  <c r="C237" i="1"/>
  <c r="D236" i="1"/>
  <c r="C236" i="1"/>
  <c r="D235" i="1"/>
  <c r="C235" i="1"/>
  <c r="D234" i="1"/>
  <c r="C234" i="1"/>
  <c r="D233" i="1"/>
  <c r="C233" i="1"/>
  <c r="D232" i="1"/>
  <c r="C232" i="1"/>
  <c r="D231" i="1"/>
  <c r="C231" i="1"/>
  <c r="D230" i="1"/>
  <c r="C230" i="1"/>
  <c r="D229" i="1"/>
  <c r="C229" i="1"/>
  <c r="D228" i="1"/>
  <c r="C228" i="1"/>
  <c r="D227" i="1"/>
  <c r="C227" i="1"/>
  <c r="D226" i="1"/>
  <c r="C226" i="1"/>
  <c r="D225" i="1"/>
  <c r="C225" i="1"/>
  <c r="D224" i="1"/>
  <c r="C224" i="1"/>
  <c r="D223" i="1"/>
  <c r="C223" i="1"/>
  <c r="D222" i="1"/>
  <c r="C222" i="1"/>
  <c r="D221" i="1"/>
  <c r="C221" i="1"/>
  <c r="D220" i="1"/>
  <c r="C220" i="1"/>
  <c r="D219" i="1"/>
  <c r="C219" i="1"/>
  <c r="D218" i="1"/>
  <c r="C218" i="1"/>
  <c r="D217" i="1"/>
  <c r="C217" i="1"/>
  <c r="D216" i="1"/>
  <c r="C216" i="1"/>
  <c r="D215" i="1"/>
  <c r="C215" i="1"/>
  <c r="D214" i="1"/>
  <c r="C214" i="1"/>
  <c r="D213" i="1"/>
  <c r="C213" i="1"/>
  <c r="D212" i="1"/>
  <c r="C212" i="1"/>
  <c r="D211" i="1"/>
  <c r="C211" i="1"/>
  <c r="D210" i="1"/>
  <c r="C210" i="1"/>
  <c r="D209" i="1"/>
  <c r="C209" i="1"/>
  <c r="D208" i="1"/>
  <c r="C208" i="1"/>
  <c r="D207" i="1"/>
  <c r="C207" i="1"/>
  <c r="D206" i="1"/>
  <c r="C206" i="1"/>
  <c r="D205" i="1"/>
  <c r="C205" i="1"/>
  <c r="D204" i="1"/>
  <c r="C204" i="1"/>
  <c r="D203" i="1"/>
  <c r="C203" i="1"/>
  <c r="D202" i="1"/>
  <c r="C202" i="1"/>
  <c r="D201" i="1"/>
  <c r="C201" i="1"/>
  <c r="D200" i="1"/>
  <c r="C200" i="1"/>
  <c r="D199" i="1"/>
  <c r="C199" i="1"/>
  <c r="D198" i="1"/>
  <c r="C198" i="1"/>
  <c r="D197" i="1"/>
  <c r="C197" i="1"/>
  <c r="D196" i="1"/>
  <c r="C196" i="1"/>
  <c r="D195" i="1"/>
  <c r="C195" i="1"/>
  <c r="D194" i="1"/>
  <c r="C194" i="1"/>
  <c r="D193" i="1"/>
  <c r="C193" i="1"/>
  <c r="D192" i="1"/>
  <c r="C192" i="1"/>
  <c r="D191" i="1"/>
  <c r="C191" i="1"/>
  <c r="D190" i="1"/>
  <c r="C190" i="1"/>
  <c r="D189" i="1"/>
  <c r="C189" i="1"/>
  <c r="D188" i="1"/>
  <c r="C188" i="1"/>
  <c r="D187" i="1"/>
  <c r="C187" i="1"/>
  <c r="D186" i="1"/>
  <c r="C186" i="1"/>
  <c r="D185" i="1"/>
  <c r="C185" i="1"/>
  <c r="D184" i="1"/>
  <c r="C184" i="1"/>
  <c r="D183" i="1"/>
  <c r="C183" i="1"/>
  <c r="D182" i="1"/>
  <c r="C182" i="1"/>
  <c r="D181" i="1"/>
  <c r="C181" i="1"/>
  <c r="D180" i="1"/>
  <c r="C180" i="1"/>
  <c r="D179" i="1"/>
  <c r="C179" i="1"/>
  <c r="D178" i="1"/>
  <c r="C178" i="1"/>
  <c r="D177" i="1"/>
  <c r="C177" i="1"/>
  <c r="D176" i="1"/>
  <c r="C176" i="1"/>
  <c r="D175" i="1"/>
  <c r="C175" i="1"/>
  <c r="D174" i="1"/>
  <c r="C174" i="1"/>
  <c r="D173" i="1"/>
  <c r="C173" i="1"/>
  <c r="D172" i="1"/>
  <c r="C172" i="1"/>
  <c r="D171" i="1"/>
  <c r="C171" i="1"/>
  <c r="D170" i="1"/>
  <c r="C170" i="1"/>
  <c r="D169" i="1"/>
  <c r="C169" i="1"/>
  <c r="D168" i="1"/>
  <c r="C168" i="1"/>
  <c r="D167" i="1"/>
  <c r="C167" i="1"/>
  <c r="D166" i="1"/>
  <c r="C166" i="1"/>
  <c r="D165" i="1"/>
  <c r="C165" i="1"/>
  <c r="D164" i="1"/>
  <c r="C164" i="1"/>
  <c r="D163" i="1"/>
  <c r="C163" i="1"/>
  <c r="D162" i="1"/>
  <c r="C162" i="1"/>
  <c r="D161" i="1"/>
  <c r="C161" i="1"/>
  <c r="D160" i="1"/>
  <c r="C160" i="1"/>
  <c r="D159" i="1"/>
  <c r="C159" i="1"/>
  <c r="D158" i="1"/>
  <c r="C158" i="1"/>
  <c r="D157" i="1"/>
  <c r="C157" i="1"/>
  <c r="D156" i="1"/>
  <c r="C156" i="1"/>
  <c r="D155" i="1"/>
  <c r="C155" i="1"/>
  <c r="D154" i="1"/>
  <c r="C154" i="1"/>
  <c r="D153" i="1"/>
  <c r="C153" i="1"/>
  <c r="D152" i="1"/>
  <c r="C152" i="1"/>
  <c r="D151" i="1"/>
  <c r="C151" i="1"/>
  <c r="D150" i="1"/>
  <c r="C150" i="1"/>
  <c r="D149" i="1"/>
  <c r="C149" i="1"/>
  <c r="D148" i="1"/>
  <c r="C148" i="1"/>
  <c r="D147" i="1"/>
  <c r="C147" i="1"/>
  <c r="D146" i="1"/>
  <c r="C146" i="1"/>
  <c r="D145" i="1"/>
  <c r="C145" i="1"/>
  <c r="D144" i="1"/>
  <c r="C144" i="1"/>
  <c r="D143" i="1"/>
  <c r="C143" i="1"/>
  <c r="D142" i="1"/>
  <c r="C142" i="1"/>
  <c r="D141" i="1"/>
  <c r="C141" i="1"/>
  <c r="D140" i="1"/>
  <c r="C140" i="1"/>
  <c r="D139" i="1"/>
  <c r="C139" i="1"/>
  <c r="D138" i="1"/>
  <c r="C138" i="1"/>
  <c r="D137" i="1"/>
  <c r="C137" i="1"/>
  <c r="D136" i="1"/>
  <c r="C136" i="1"/>
  <c r="D135" i="1"/>
  <c r="C135" i="1"/>
  <c r="D134" i="1"/>
  <c r="C134" i="1"/>
  <c r="D133" i="1"/>
  <c r="C133" i="1"/>
  <c r="D132" i="1"/>
  <c r="C132" i="1"/>
  <c r="D131" i="1"/>
  <c r="C131" i="1"/>
  <c r="D130" i="1"/>
  <c r="C130" i="1"/>
  <c r="D129" i="1"/>
  <c r="C129" i="1"/>
  <c r="D128" i="1"/>
  <c r="C128" i="1"/>
  <c r="D127" i="1"/>
  <c r="C127" i="1"/>
  <c r="D126" i="1"/>
  <c r="C126" i="1"/>
  <c r="D125" i="1"/>
  <c r="C125" i="1"/>
  <c r="D124" i="1"/>
  <c r="C124" i="1"/>
  <c r="D123" i="1"/>
  <c r="C123" i="1"/>
  <c r="D122" i="1"/>
  <c r="C122" i="1"/>
  <c r="D121" i="1"/>
  <c r="C121" i="1"/>
  <c r="D120" i="1"/>
  <c r="C120" i="1"/>
  <c r="D119" i="1"/>
  <c r="C119" i="1"/>
  <c r="D118" i="1"/>
  <c r="C118" i="1"/>
  <c r="D117" i="1"/>
  <c r="C117" i="1"/>
  <c r="D116" i="1"/>
  <c r="C116" i="1"/>
  <c r="D115" i="1"/>
  <c r="C115" i="1"/>
  <c r="D114" i="1"/>
  <c r="C114" i="1"/>
  <c r="D113" i="1"/>
  <c r="C113" i="1"/>
  <c r="D112" i="1"/>
  <c r="C112" i="1"/>
  <c r="D111" i="1"/>
  <c r="C111" i="1"/>
  <c r="D110" i="1"/>
  <c r="C110" i="1"/>
  <c r="D109" i="1"/>
  <c r="C109" i="1"/>
  <c r="D108" i="1"/>
  <c r="C108" i="1"/>
  <c r="D107" i="1"/>
  <c r="C107" i="1"/>
  <c r="D106" i="1"/>
  <c r="C106" i="1"/>
  <c r="D105" i="1"/>
  <c r="C105" i="1"/>
  <c r="D104" i="1"/>
  <c r="C104" i="1"/>
  <c r="D103" i="1"/>
  <c r="C103" i="1"/>
  <c r="D102" i="1"/>
  <c r="C102" i="1"/>
  <c r="D101" i="1"/>
  <c r="C101" i="1"/>
  <c r="D100" i="1"/>
  <c r="C100" i="1"/>
  <c r="D99" i="1"/>
  <c r="C99" i="1"/>
  <c r="D98" i="1"/>
  <c r="C98" i="1"/>
  <c r="D97" i="1"/>
  <c r="C97" i="1"/>
  <c r="D96" i="1"/>
  <c r="C96" i="1"/>
  <c r="D95" i="1"/>
  <c r="C95" i="1"/>
  <c r="D94" i="1"/>
  <c r="C94" i="1"/>
  <c r="D93" i="1"/>
  <c r="C93" i="1"/>
  <c r="D92" i="1"/>
  <c r="C92" i="1"/>
  <c r="D91" i="1"/>
  <c r="C91" i="1"/>
  <c r="D90" i="1"/>
  <c r="C90" i="1"/>
  <c r="D89" i="1"/>
  <c r="C89" i="1"/>
  <c r="D88" i="1"/>
  <c r="C88" i="1"/>
  <c r="D87" i="1"/>
  <c r="C87" i="1"/>
  <c r="D86" i="1"/>
  <c r="C86" i="1"/>
  <c r="D85" i="1"/>
  <c r="C85" i="1"/>
  <c r="D84" i="1"/>
  <c r="C84" i="1"/>
  <c r="D83" i="1"/>
  <c r="C83" i="1"/>
  <c r="D82" i="1"/>
  <c r="C82" i="1"/>
  <c r="D81" i="1"/>
  <c r="C81" i="1"/>
  <c r="D80" i="1"/>
  <c r="C80" i="1"/>
  <c r="D79" i="1"/>
  <c r="C79" i="1"/>
  <c r="D78" i="1"/>
  <c r="C78" i="1"/>
  <c r="D77" i="1"/>
  <c r="C77" i="1"/>
  <c r="D76" i="1"/>
  <c r="C76" i="1"/>
  <c r="D75" i="1"/>
  <c r="C75" i="1"/>
  <c r="D74" i="1"/>
  <c r="C74" i="1"/>
  <c r="D73" i="1"/>
  <c r="C73" i="1"/>
  <c r="D72" i="1"/>
  <c r="C72" i="1"/>
  <c r="D71" i="1"/>
  <c r="C71" i="1"/>
  <c r="D70" i="1"/>
  <c r="C70" i="1"/>
  <c r="D69" i="1"/>
  <c r="C69" i="1"/>
  <c r="D68" i="1"/>
  <c r="C68" i="1"/>
  <c r="D67" i="1"/>
  <c r="C67" i="1"/>
  <c r="C66" i="1"/>
  <c r="D65" i="1"/>
  <c r="C65" i="1"/>
  <c r="D64" i="1"/>
  <c r="C64" i="1"/>
  <c r="D63" i="1"/>
  <c r="C63" i="1"/>
  <c r="D62" i="1"/>
  <c r="C62" i="1"/>
  <c r="D61" i="1"/>
  <c r="C61" i="1"/>
  <c r="D60" i="1"/>
  <c r="C60" i="1"/>
  <c r="D59" i="1"/>
  <c r="C59" i="1"/>
  <c r="D58" i="1"/>
  <c r="C58" i="1"/>
  <c r="D57" i="1"/>
  <c r="C57" i="1"/>
  <c r="D56" i="1"/>
  <c r="C56" i="1"/>
  <c r="D55" i="1"/>
  <c r="C55" i="1"/>
  <c r="D54" i="1"/>
  <c r="C54" i="1"/>
  <c r="D53" i="1"/>
  <c r="C53" i="1"/>
  <c r="D52" i="1"/>
  <c r="C52" i="1"/>
  <c r="D51" i="1"/>
  <c r="C51" i="1"/>
  <c r="D50" i="1"/>
  <c r="C50" i="1"/>
  <c r="D49" i="1"/>
  <c r="C49" i="1"/>
  <c r="D48" i="1"/>
  <c r="C48" i="1"/>
  <c r="D47" i="1"/>
  <c r="C47" i="1"/>
  <c r="D46" i="1"/>
  <c r="C46" i="1"/>
  <c r="D45" i="1"/>
  <c r="C45" i="1"/>
  <c r="D44" i="1"/>
  <c r="C44" i="1"/>
  <c r="D43" i="1"/>
  <c r="C43" i="1"/>
  <c r="D42" i="1"/>
  <c r="C42" i="1"/>
  <c r="D41" i="1"/>
  <c r="C41" i="1"/>
  <c r="D40" i="1"/>
  <c r="C40" i="1"/>
  <c r="D39" i="1"/>
  <c r="C39" i="1"/>
  <c r="D38" i="1"/>
  <c r="C38" i="1"/>
  <c r="D37" i="1"/>
  <c r="C37" i="1"/>
  <c r="D36" i="1"/>
  <c r="C36" i="1"/>
  <c r="D35" i="1"/>
  <c r="C35" i="1"/>
  <c r="D34" i="1"/>
  <c r="C34" i="1"/>
  <c r="D33" i="1"/>
  <c r="C33" i="1"/>
  <c r="D32" i="1"/>
  <c r="C32" i="1"/>
  <c r="D31" i="1"/>
  <c r="C31" i="1"/>
  <c r="D30" i="1"/>
  <c r="C30" i="1"/>
  <c r="D29" i="1"/>
  <c r="C29" i="1"/>
  <c r="D28" i="1"/>
  <c r="C28" i="1"/>
  <c r="D27" i="1"/>
  <c r="C27" i="1"/>
  <c r="D26" i="1"/>
  <c r="C26" i="1"/>
  <c r="D25" i="1"/>
  <c r="C25" i="1"/>
  <c r="D24" i="1"/>
  <c r="C24" i="1"/>
  <c r="D23" i="1"/>
  <c r="C23" i="1"/>
  <c r="D22" i="1"/>
  <c r="C22" i="1"/>
  <c r="D21" i="1"/>
  <c r="C21" i="1"/>
  <c r="D20" i="1"/>
  <c r="C20" i="1"/>
  <c r="D19" i="1"/>
  <c r="C19" i="1"/>
  <c r="D18" i="1"/>
  <c r="C18" i="1"/>
  <c r="D17" i="1"/>
  <c r="C17" i="1"/>
  <c r="D16" i="1"/>
  <c r="C16" i="1"/>
  <c r="D15" i="1"/>
  <c r="C15" i="1"/>
  <c r="D14" i="1"/>
  <c r="C14" i="1"/>
  <c r="D13" i="1"/>
  <c r="C13" i="1"/>
  <c r="D12" i="1"/>
  <c r="C12" i="1"/>
  <c r="D11" i="1"/>
  <c r="C11" i="1"/>
  <c r="D10" i="1"/>
  <c r="C10" i="1"/>
  <c r="D9" i="1"/>
  <c r="C9" i="1"/>
  <c r="D8" i="1"/>
  <c r="C8" i="1"/>
  <c r="D7" i="1"/>
  <c r="C7" i="1"/>
  <c r="D6" i="1"/>
  <c r="C6" i="1"/>
  <c r="D5" i="1"/>
  <c r="C5" i="1"/>
  <c r="D4" i="1"/>
  <c r="C4" i="1"/>
  <c r="D3" i="1"/>
  <c r="C3" i="1"/>
  <c r="D2" i="1"/>
  <c r="C2" i="1"/>
</calcChain>
</file>

<file path=xl/sharedStrings.xml><?xml version="1.0" encoding="utf-8"?>
<sst xmlns="http://schemas.openxmlformats.org/spreadsheetml/2006/main" count="947" uniqueCount="944">
  <si>
    <t>kodebarang</t>
  </si>
  <si>
    <t>nama</t>
  </si>
  <si>
    <t>TANGGERANG</t>
  </si>
  <si>
    <t>SURABAYA</t>
  </si>
  <si>
    <t>ACT-KG</t>
  </si>
  <si>
    <t>Aceton (kg)</t>
  </si>
  <si>
    <t>ACT-4KG</t>
  </si>
  <si>
    <t>Aceton 4kg</t>
  </si>
  <si>
    <t>ACT-6KG</t>
  </si>
  <si>
    <t>Aceton 6 Kg</t>
  </si>
  <si>
    <t>AVP-100</t>
  </si>
  <si>
    <t>Ambient Air Vaporizer 100M3-35BAR</t>
  </si>
  <si>
    <t>AVP-30</t>
  </si>
  <si>
    <t>Ambient Air Vaporizer 30M3-35BAR</t>
  </si>
  <si>
    <t>AVP-50</t>
  </si>
  <si>
    <t>Ambient Air Vaporizer 50M3-35BAR</t>
  </si>
  <si>
    <t>APCR-0001</t>
  </si>
  <si>
    <t>As Pen Kran Acetylene CR</t>
  </si>
  <si>
    <t>AMA-0001</t>
  </si>
  <si>
    <t>Aspen Monel Acy</t>
  </si>
  <si>
    <t>C-VGL</t>
  </si>
  <si>
    <t>Cradle VGL 175L</t>
  </si>
  <si>
    <t>CRY-10</t>
  </si>
  <si>
    <t>Cryogenic Container 10L</t>
  </si>
  <si>
    <t>CRY-20</t>
  </si>
  <si>
    <t>Cryogenic Container 20L</t>
  </si>
  <si>
    <t>CRY-2</t>
  </si>
  <si>
    <t>Cryogenic Container 2L</t>
  </si>
  <si>
    <t>CRY-30</t>
  </si>
  <si>
    <t>Cryogenic Container 30L</t>
  </si>
  <si>
    <t>CRY-35</t>
  </si>
  <si>
    <t>Cryogenic Container 35L</t>
  </si>
  <si>
    <t>CRY-3</t>
  </si>
  <si>
    <t>Cryogenic Container 3L</t>
  </si>
  <si>
    <t>CRY-50</t>
  </si>
  <si>
    <t>Cryogenic Container 50L</t>
  </si>
  <si>
    <t>CRY-6</t>
  </si>
  <si>
    <t>Cryogenic Container 6L</t>
  </si>
  <si>
    <t>CRY-210</t>
  </si>
  <si>
    <t>Cryogenic Cylinder  210L - 23Bar</t>
  </si>
  <si>
    <t>CRY-175</t>
  </si>
  <si>
    <t>Cryogenic Cylinder 175L - 23Bar</t>
  </si>
  <si>
    <t>CRY-35Bar</t>
  </si>
  <si>
    <t>Cryogenic Cylinder 175L - 35 Bar</t>
  </si>
  <si>
    <t>CRY-360</t>
  </si>
  <si>
    <t>Cryogenic Cylinder 360L - 20Bar</t>
  </si>
  <si>
    <t>CRY-500</t>
  </si>
  <si>
    <t>Cryogenic Cylinder 500L - 23Bar</t>
  </si>
  <si>
    <t>CRY-80</t>
  </si>
  <si>
    <t>Cryogenic Cylinder 80L-23Bar</t>
  </si>
  <si>
    <t>CRY-500-25</t>
  </si>
  <si>
    <t>Cryogenic Cylinder Horizontal 500L - 25Bar</t>
  </si>
  <si>
    <t>CRY-HP-0001</t>
  </si>
  <si>
    <t>Cryogenic Hand Pump</t>
  </si>
  <si>
    <t>CRY-M</t>
  </si>
  <si>
    <t>Cryogenic Meter 175L</t>
  </si>
  <si>
    <t>CRY-P</t>
  </si>
  <si>
    <t>Cryogenic Pressure Gauge 600psi NPT 1/4</t>
  </si>
  <si>
    <t>CRY-PP-5</t>
  </si>
  <si>
    <t>Cryogenic Pump Part P200-005</t>
  </si>
  <si>
    <t>CRY-PP-6</t>
  </si>
  <si>
    <t>Cryogenic Pump Part P200-006</t>
  </si>
  <si>
    <t>CRY-PP-7</t>
  </si>
  <si>
    <t>Cryogenic Pump Part P200-007</t>
  </si>
  <si>
    <t>100012</t>
  </si>
  <si>
    <t>Cryogenic Valve Repair Kit</t>
  </si>
  <si>
    <t>ACT-0003</t>
  </si>
  <si>
    <t>Gas Acetylene + Aceton 4 Kg</t>
  </si>
  <si>
    <t>ACT-0004</t>
  </si>
  <si>
    <t>Gas Acetylene + Aceton 6 Kg</t>
  </si>
  <si>
    <t>ACT-0002</t>
  </si>
  <si>
    <t>Gas Acetylene 3 Kg + Aceton 5 Kg</t>
  </si>
  <si>
    <t>ACT-0005</t>
  </si>
  <si>
    <t>Gas Acetylene HP</t>
  </si>
  <si>
    <t>ACT-0006</t>
  </si>
  <si>
    <t>Gas Acetylene HP 3 Kg</t>
  </si>
  <si>
    <t>ACT-0016</t>
  </si>
  <si>
    <t>Gas Acetylene HP 4 Kg</t>
  </si>
  <si>
    <t>ACT-0007</t>
  </si>
  <si>
    <t>Gas Acetylene UHP 2kg</t>
  </si>
  <si>
    <t>ACT-0008</t>
  </si>
  <si>
    <t>Gas Acetylene UHP 3 Kg</t>
  </si>
  <si>
    <t>ACT-0018</t>
  </si>
  <si>
    <t>Gas Acetylene UHP 6 Kg</t>
  </si>
  <si>
    <t>ACT-0021</t>
  </si>
  <si>
    <t>Gas Acetylene UHP 3 Kg + Aceton 6 Kg</t>
  </si>
  <si>
    <t>ACT-0001</t>
  </si>
  <si>
    <t>Gas Acetylene WG 2 kg</t>
  </si>
  <si>
    <t>ACT-0019</t>
  </si>
  <si>
    <t>Gas Acetylene WG 6 Kg &amp; Aceton 12 Kg</t>
  </si>
  <si>
    <t>ARG-HP-0001</t>
  </si>
  <si>
    <t>Gas Argon HP 1 M3</t>
  </si>
  <si>
    <t>ARG-HP-0002</t>
  </si>
  <si>
    <t>Gas Argon HP 6 M3</t>
  </si>
  <si>
    <t>ARG-UHP-0001</t>
  </si>
  <si>
    <t>Gas Argon UHP 6 M3</t>
  </si>
  <si>
    <t>ARG-WG-0001</t>
  </si>
  <si>
    <t>Gas Argon WG 1 M3</t>
  </si>
  <si>
    <t>ARG-WG-0002</t>
  </si>
  <si>
    <t>Gas Argon WG 1,5 M3</t>
  </si>
  <si>
    <t>ARG-WG-0004</t>
  </si>
  <si>
    <t>Gas Argon WG 2 M3</t>
  </si>
  <si>
    <t>ARG-WG-0016</t>
  </si>
  <si>
    <t>Gas Argon WG 3 M3</t>
  </si>
  <si>
    <t>ARG-WG-0005</t>
  </si>
  <si>
    <t>Gas Argon WG 6 M3</t>
  </si>
  <si>
    <t>ARG-WG-0006</t>
  </si>
  <si>
    <t>Gas Argon WG 7 M3</t>
  </si>
  <si>
    <t>CO2-NSN-0023</t>
  </si>
  <si>
    <t>Gas Carbondioxide 1Kg FG</t>
  </si>
  <si>
    <t>CO2-NSN-0003</t>
  </si>
  <si>
    <t>Gas Carbondioxide 2 Kg FG</t>
  </si>
  <si>
    <t>CO2-NSN-0016</t>
  </si>
  <si>
    <t>Gas Carbondioxide 3 Kg FG</t>
  </si>
  <si>
    <t>CO2-NSN-0001</t>
  </si>
  <si>
    <t>Gas Carbondioxide 4 Kg FG</t>
  </si>
  <si>
    <t>CO2-NSN-0010</t>
  </si>
  <si>
    <t>Gas Carbondioxide 5 Kg FG</t>
  </si>
  <si>
    <t>CO2-NSN-0011</t>
  </si>
  <si>
    <t>Gas Carbondioxide 6 Kg FG</t>
  </si>
  <si>
    <t>CO2-NSN-0012</t>
  </si>
  <si>
    <t>Gas Carbondioxide 8 Kg FG</t>
  </si>
  <si>
    <t>CO2-NSN-0014</t>
  </si>
  <si>
    <t>Gas Carbondioxide 12 Kg FG</t>
  </si>
  <si>
    <t>CO2-NSN-0017</t>
  </si>
  <si>
    <t>Gas Carbondioxide 15 Kg FG</t>
  </si>
  <si>
    <t>CO2-NSN-0018</t>
  </si>
  <si>
    <t>Gas Carbondioxide 20 Kg FG</t>
  </si>
  <si>
    <t>CO2-NSN-0019</t>
  </si>
  <si>
    <t>Gas Carbondioxide 25 Kg FG</t>
  </si>
  <si>
    <t>CO2-NSN-0020</t>
  </si>
  <si>
    <t>Gas Carbondioxide 45 Kg FG</t>
  </si>
  <si>
    <t>CO2-NSN-0022</t>
  </si>
  <si>
    <t>Gas Carbondioxide 1Kg IG</t>
  </si>
  <si>
    <t>CO2-NSN-0005</t>
  </si>
  <si>
    <t>Gas Carbondioxide 20 Kg IG</t>
  </si>
  <si>
    <t>CO2-NSN-0002</t>
  </si>
  <si>
    <t>Gas Carbondioxide 15 Kg IG</t>
  </si>
  <si>
    <t>CO2-NSN-0006</t>
  </si>
  <si>
    <t>Gas Carbondioxide 25 Kg IG</t>
  </si>
  <si>
    <t>CO2-NSN-0021</t>
  </si>
  <si>
    <t>Gas Carbondioxide 40 Kg IG</t>
  </si>
  <si>
    <t>CO2-NSN-0009</t>
  </si>
  <si>
    <t>Gas Carbondioxide 45 Kg IG</t>
  </si>
  <si>
    <t>CO2-NSN-0008</t>
  </si>
  <si>
    <t>Gas Carbondioxide 30 Kg</t>
  </si>
  <si>
    <t>CO2-NSN-0015</t>
  </si>
  <si>
    <t>Gas Carbondioxide 9 kg</t>
  </si>
  <si>
    <t>CO-NSN-0001</t>
  </si>
  <si>
    <t>Gas Carbonmonoxide 6 M3</t>
  </si>
  <si>
    <t>HE-0002</t>
  </si>
  <si>
    <t>Gas Helium WG 1 m3</t>
  </si>
  <si>
    <t>HE-UHP-0007</t>
  </si>
  <si>
    <t>Gas Helium UHP 0,3 m3</t>
  </si>
  <si>
    <t>HE-UHP-0002</t>
  </si>
  <si>
    <t>Gas Helium UHP 0,5 M3</t>
  </si>
  <si>
    <t>HE-UHP-0001</t>
  </si>
  <si>
    <t>Gas Helium UHP 1 m3</t>
  </si>
  <si>
    <t>HE-UHP-0003</t>
  </si>
  <si>
    <t>Gas Helium UHP 1,5 m3</t>
  </si>
  <si>
    <t>HE-UHP-0008</t>
  </si>
  <si>
    <t>Gas Helium UHP 2 m3</t>
  </si>
  <si>
    <t>HE-UHP-0004</t>
  </si>
  <si>
    <t>Gas Helium UHP 6 m3</t>
  </si>
  <si>
    <t>HE-UHP-0005</t>
  </si>
  <si>
    <t>Gas Helium UHP 7 m3</t>
  </si>
  <si>
    <t>HE-UHP-0009</t>
  </si>
  <si>
    <t>Gas Helium UHP 10 m3</t>
  </si>
  <si>
    <t>HYD-0010</t>
  </si>
  <si>
    <t>Gas Hydrogen HP 0,5 M3</t>
  </si>
  <si>
    <t>HYD-0011</t>
  </si>
  <si>
    <t>Gas Hydrogen HP 1 M3</t>
  </si>
  <si>
    <t>HYD-0012</t>
  </si>
  <si>
    <t>Gas Hydrogen HP 1,5 M3</t>
  </si>
  <si>
    <t>HYD-0013</t>
  </si>
  <si>
    <t>Gas Hydrogen HP 2 M3</t>
  </si>
  <si>
    <t>HYD-0005</t>
  </si>
  <si>
    <t>Gas Hydrogen HP 6 M3</t>
  </si>
  <si>
    <t>HYD-0014</t>
  </si>
  <si>
    <t>Gas Hydrogen HP 7 M3</t>
  </si>
  <si>
    <t>HYD-0015</t>
  </si>
  <si>
    <t>Gas Hydrogen UHP 0,3 M3</t>
  </si>
  <si>
    <t>HYD-0016</t>
  </si>
  <si>
    <t>Gas Hydrogen UHP 0,5 M3</t>
  </si>
  <si>
    <t>HYD-0017</t>
  </si>
  <si>
    <t>Gas Hydrogen UHP 1 M3</t>
  </si>
  <si>
    <t>HYD-0018</t>
  </si>
  <si>
    <t>Gas Hydrogen UHP 2 M3</t>
  </si>
  <si>
    <t>HYD-0001</t>
  </si>
  <si>
    <t>Gas Hydrogen UHP 6 M3</t>
  </si>
  <si>
    <t>HYD-0019</t>
  </si>
  <si>
    <t>Gas Hydrogen UHP 7 M3</t>
  </si>
  <si>
    <t>HYD-0020</t>
  </si>
  <si>
    <t>Gas Hydrogen UHP 10 M3 (50 - 200 bar)</t>
  </si>
  <si>
    <t>HYD-0021</t>
  </si>
  <si>
    <t>Gas Hydrogen UHP 6 M3 (68L - 150 bar)</t>
  </si>
  <si>
    <t>HYD-0009</t>
  </si>
  <si>
    <t>Gas Hydrogen WG 0,3 M3</t>
  </si>
  <si>
    <t>HYD-0004</t>
  </si>
  <si>
    <t>Gas Hydrogen WG 1 M3</t>
  </si>
  <si>
    <t>HYD-0008</t>
  </si>
  <si>
    <t>Gas Hydrogen WG 1,5 M3</t>
  </si>
  <si>
    <t>HYD-0002</t>
  </si>
  <si>
    <t>Gas Hydrogen WG 6 M3</t>
  </si>
  <si>
    <t>HYD-0003</t>
  </si>
  <si>
    <t>Gas Hydrogen WG 7 M3</t>
  </si>
  <si>
    <t>HYD-0022</t>
  </si>
  <si>
    <t>Gas Hydrogen WG 10 M3 (68L - 150bar)</t>
  </si>
  <si>
    <t>N2-0032</t>
  </si>
  <si>
    <t>Gas Nitrogen HP 1 M3</t>
  </si>
  <si>
    <t>N2-0033</t>
  </si>
  <si>
    <t>Gas Nitrogen HP 1,5 M3</t>
  </si>
  <si>
    <t>N2-0034</t>
  </si>
  <si>
    <t>Gas Nitrogen HP 2 M3</t>
  </si>
  <si>
    <t>N2-0010</t>
  </si>
  <si>
    <t>Gas Nitrogen HP 6 M3</t>
  </si>
  <si>
    <t>N2-0011</t>
  </si>
  <si>
    <t>Gas Nitrogen HP 7 M3</t>
  </si>
  <si>
    <t>N2-0035</t>
  </si>
  <si>
    <t>Gas Nitrogen UHP 1 M3</t>
  </si>
  <si>
    <t>N2-0027</t>
  </si>
  <si>
    <t>Gas Nitrogen UHP 1,5 M3</t>
  </si>
  <si>
    <t>N2-0025</t>
  </si>
  <si>
    <t>Gas Nitrogen UHP 2 M3</t>
  </si>
  <si>
    <t>N2-0026</t>
  </si>
  <si>
    <t>Gas Nitrogen UHP 6 M3</t>
  </si>
  <si>
    <t>N2-0001</t>
  </si>
  <si>
    <t>Gas Nitrogen UHP 7 M3</t>
  </si>
  <si>
    <t>N2-0028</t>
  </si>
  <si>
    <t>Gas Nitrogen UHP 10 M3 (50L - 200Bar)</t>
  </si>
  <si>
    <t>N2-0031</t>
  </si>
  <si>
    <t>Gas Nitrogen WG 0,3 M3</t>
  </si>
  <si>
    <t>N2-0002</t>
  </si>
  <si>
    <t>Gas Nitrogen WG 0,5 M3</t>
  </si>
  <si>
    <t>N2-0003</t>
  </si>
  <si>
    <t>Gas Nitrogen WG 1 M3</t>
  </si>
  <si>
    <t>N2-0004</t>
  </si>
  <si>
    <t>Gas Nitrogen WG 1,5 M3</t>
  </si>
  <si>
    <t>N2-0006</t>
  </si>
  <si>
    <t>Gas Nitrogen WG 2 M3</t>
  </si>
  <si>
    <t>N2-0008</t>
  </si>
  <si>
    <t>Gas Nitrogen WG 6 M3</t>
  </si>
  <si>
    <t>N2-0009</t>
  </si>
  <si>
    <t>Gas Nitrogen WG 7 M3</t>
  </si>
  <si>
    <t>Gas Nitrogen WG 10 M3</t>
  </si>
  <si>
    <t>N2-0036</t>
  </si>
  <si>
    <t>Gas Nitrogen WG 10 M3 (50L-200Bar)</t>
  </si>
  <si>
    <t>N2-0037</t>
  </si>
  <si>
    <t>Gas Nitrogen WG 10 M3 (68L-200Bar)</t>
  </si>
  <si>
    <t>N2O-0013</t>
  </si>
  <si>
    <t>Gas Nitrous Oxide 1 Kg</t>
  </si>
  <si>
    <t>N2O-0012</t>
  </si>
  <si>
    <t>Gas Nitrous Oxide 2 Kg</t>
  </si>
  <si>
    <t>N2O-0003</t>
  </si>
  <si>
    <t>Gas Nitrous Oxide 4 Kg</t>
  </si>
  <si>
    <t>N2O-0005</t>
  </si>
  <si>
    <t>Gas Nitrous Oxide 6 Kg</t>
  </si>
  <si>
    <t>N2O-0010</t>
  </si>
  <si>
    <t>Gas Nitrous Oxide 8Kg</t>
  </si>
  <si>
    <t>N2O-0014</t>
  </si>
  <si>
    <t>Gas Nitrous Oxide 12 Kg</t>
  </si>
  <si>
    <t>N2O-0001</t>
  </si>
  <si>
    <t>Gas Nitrous Oxide 15 Kg</t>
  </si>
  <si>
    <t>N2O-0002</t>
  </si>
  <si>
    <t>Gas Nitrous Oxide 20 Kg</t>
  </si>
  <si>
    <t>N2O-0015</t>
  </si>
  <si>
    <t>Gas Nitrous Oxide 25 Kg</t>
  </si>
  <si>
    <t>02-MP-0017</t>
  </si>
  <si>
    <t>Gas Oxygen 0,3 m3</t>
  </si>
  <si>
    <t>02-MP-0018</t>
  </si>
  <si>
    <t>Gas Oxygen 0,5 m3</t>
  </si>
  <si>
    <t>02-MP-0019</t>
  </si>
  <si>
    <t>Gas Oxygen 1 M3 - A</t>
  </si>
  <si>
    <t>02-MP-0020</t>
  </si>
  <si>
    <t>Gas Oxygen 1 M3 - A 100 Bar</t>
  </si>
  <si>
    <t>02-MP-0021</t>
  </si>
  <si>
    <t>Gas Oxygen 1 M3 - A 75 Bar</t>
  </si>
  <si>
    <t>02-MP-0014</t>
  </si>
  <si>
    <r>
      <t xml:space="preserve">Gas Oxygen 1 M3 </t>
    </r>
    <r>
      <rPr>
        <b/>
        <sz val="11"/>
        <rFont val="Calibri"/>
        <family val="2"/>
        <scheme val="minor"/>
      </rPr>
      <t>MR</t>
    </r>
  </si>
  <si>
    <t>02-MP-0023</t>
  </si>
  <si>
    <t>Gas Oxygen 1,5 m3</t>
  </si>
  <si>
    <t>02-MP-0024</t>
  </si>
  <si>
    <t>Gas Oxygen 2 m3</t>
  </si>
  <si>
    <t>02-MP-0025</t>
  </si>
  <si>
    <t>Gas Oxygen 3 m3</t>
  </si>
  <si>
    <t>02-MP-0026</t>
  </si>
  <si>
    <t>Gas Oxygen 6 m3 WG</t>
  </si>
  <si>
    <t>02-MP-0027</t>
  </si>
  <si>
    <t>Gas Oxygen 7 m3 WG</t>
  </si>
  <si>
    <t>02-MP-0028</t>
  </si>
  <si>
    <t>Gas Oxygen 6 m3 HP</t>
  </si>
  <si>
    <t>O2-UHP-0001</t>
  </si>
  <si>
    <r>
      <t xml:space="preserve">Gas Oxygen 6 m3 </t>
    </r>
    <r>
      <rPr>
        <b/>
        <sz val="11"/>
        <rFont val="Calibri"/>
        <family val="2"/>
        <scheme val="minor"/>
      </rPr>
      <t>UHP</t>
    </r>
    <r>
      <rPr>
        <sz val="11"/>
        <rFont val="Calibri"/>
        <family val="2"/>
        <scheme val="minor"/>
      </rPr>
      <t xml:space="preserve">  (lokal)</t>
    </r>
  </si>
  <si>
    <t>02-MP-0016</t>
  </si>
  <si>
    <t>Gas Oxygen 10 m3 - WG (68L-150Bar)</t>
  </si>
  <si>
    <t>02-MP-0015</t>
  </si>
  <si>
    <t>Gas Oxygen 10 m3 - WG (50L-200Bar)</t>
  </si>
  <si>
    <t>Gas Oxygen UHP 6 M3 (lokal)</t>
  </si>
  <si>
    <t>UT-0003</t>
  </si>
  <si>
    <t>Gas Udara Tekan 1M3</t>
  </si>
  <si>
    <t>GUT-0001</t>
  </si>
  <si>
    <t>Gas Udara Tekan 1,5M3 dan 2M3</t>
  </si>
  <si>
    <t>UT-0002</t>
  </si>
  <si>
    <t>Gas Udara Tekan 6 m3</t>
  </si>
  <si>
    <t>GUT-0006</t>
  </si>
  <si>
    <t>Gas Udara Tekan 7m3</t>
  </si>
  <si>
    <t>GUT-0003</t>
  </si>
  <si>
    <t>Gas Udara Tekan 10m3 HP (50L-200Bar)</t>
  </si>
  <si>
    <t>GUT-0004</t>
  </si>
  <si>
    <t>Gas Udara Tekan 10m3 UHP (50L-200Bar)</t>
  </si>
  <si>
    <t>GUT-0005</t>
  </si>
  <si>
    <t>Gas Udara Tekan 10 m3 - WG (68L-150Bar)</t>
  </si>
  <si>
    <t>KR-0001</t>
  </si>
  <si>
    <t>Handwheel Kran</t>
  </si>
  <si>
    <t>KR-0025</t>
  </si>
  <si>
    <t>Handwheel Kran SV</t>
  </si>
  <si>
    <t>KR-0002</t>
  </si>
  <si>
    <t>Kran Acetylene Baru Type PF5 - 1</t>
  </si>
  <si>
    <t>KR-0003</t>
  </si>
  <si>
    <t>Kran Argon BaruType PX-35 SA</t>
  </si>
  <si>
    <t>KR-0004</t>
  </si>
  <si>
    <t>Kran CNG Baru Type QF - T1</t>
  </si>
  <si>
    <t>KR-0005</t>
  </si>
  <si>
    <t>Kran Hydrogen Baru Type DN</t>
  </si>
  <si>
    <t>KR-0006</t>
  </si>
  <si>
    <t>Kran Hydrogen Baru Type QF-30</t>
  </si>
  <si>
    <t>KR-0008</t>
  </si>
  <si>
    <t>Kran Karbondioksida Baru Type QF-2A6</t>
  </si>
  <si>
    <t>KR-0026</t>
  </si>
  <si>
    <t>Kran Karbondioksida Baru Type QF-2A6 SV</t>
  </si>
  <si>
    <t>KR-0007</t>
  </si>
  <si>
    <t>Kran Karbondioksida Type QF-2A6 LP</t>
  </si>
  <si>
    <t>KR-0009</t>
  </si>
  <si>
    <t>Kran Karbonmonoksida Baru</t>
  </si>
  <si>
    <t>KR-0010</t>
  </si>
  <si>
    <t>Kran Nitrous Oxide Baru</t>
  </si>
  <si>
    <t>KR-0011</t>
  </si>
  <si>
    <t>Kran Oxygen Baru Type  QF - 6B LP</t>
  </si>
  <si>
    <t>KR-0013</t>
  </si>
  <si>
    <t>Kran Oxygen Baru Type F-4 W</t>
  </si>
  <si>
    <t>KR-0015</t>
  </si>
  <si>
    <t>Kran Oxygen Baru Type QF-2G1</t>
  </si>
  <si>
    <t>KR-0017</t>
  </si>
  <si>
    <t>Kran Oxygen Baru Type QF-2G1 SGA CR</t>
  </si>
  <si>
    <t>KR-0018</t>
  </si>
  <si>
    <t>Kran Oxygen Baru Type QF-2G1 SV PUREAIR</t>
  </si>
  <si>
    <t>KR-0019</t>
  </si>
  <si>
    <t>Kran Oxygen Baru Type QF-2G1 SV PUREAIR LP</t>
  </si>
  <si>
    <t>KR-0020</t>
  </si>
  <si>
    <t>Kran Oxygen Type QF-2G1 LP</t>
  </si>
  <si>
    <t>KR-0027</t>
  </si>
  <si>
    <t>Kran Oxygen Type MA2-10 LP</t>
  </si>
  <si>
    <t>TB-LQA-175L</t>
  </si>
  <si>
    <t>Liquid Argon 175L VGL</t>
  </si>
  <si>
    <t>LIQ-210</t>
  </si>
  <si>
    <t>Liquid Carbondioxide Food Grade 210L</t>
  </si>
  <si>
    <t>LQL-0001</t>
  </si>
  <si>
    <t>Liquid Level VGL 175 L m 18x2 LIN</t>
  </si>
  <si>
    <t>LQL-0002</t>
  </si>
  <si>
    <t>Liquid Level VGL 175 L m 18x2 LOX</t>
  </si>
  <si>
    <t>LQL-0003</t>
  </si>
  <si>
    <t>Liquid Level VGL 175 L m 20x1,5 LAR</t>
  </si>
  <si>
    <t>LQL-0004</t>
  </si>
  <si>
    <t>Liquid Level VGL 175 L m 20x1,5 LCO2</t>
  </si>
  <si>
    <t>LQL-0005</t>
  </si>
  <si>
    <t>Liquid Level VGL 175 L m 20x1,5 LIN</t>
  </si>
  <si>
    <t>LQL-0006</t>
  </si>
  <si>
    <t>Liquid Level VGL 175 L m 20x1,5 LNG</t>
  </si>
  <si>
    <t>LQL-0007</t>
  </si>
  <si>
    <t>Liquid Level VGL 175 L m 20x1,5 LOX</t>
  </si>
  <si>
    <t>LIN</t>
  </si>
  <si>
    <t>Liquid Nitrogen 1 Liter</t>
  </si>
  <si>
    <t>TAB-LIN10</t>
  </si>
  <si>
    <t>Liquid Nitrogen 10L</t>
  </si>
  <si>
    <t>TAB-LIN11</t>
  </si>
  <si>
    <t>Liquid Nitrogen 11L</t>
  </si>
  <si>
    <t>TAB-LIN175</t>
  </si>
  <si>
    <t>Liquid Nitrogen 175L VGL</t>
  </si>
  <si>
    <t>TAB-LIN20</t>
  </si>
  <si>
    <t>Liquid Nitrogen 20L</t>
  </si>
  <si>
    <t>TAB-LIN30</t>
  </si>
  <si>
    <t>Liquid Nitrogen 30L</t>
  </si>
  <si>
    <t>TAB-LIN360</t>
  </si>
  <si>
    <t>Liquid Nitrogen 360L</t>
  </si>
  <si>
    <t>TAB-LIN3</t>
  </si>
  <si>
    <t>Liquid Nitrogen 3L</t>
  </si>
  <si>
    <t>TAB-LIN50</t>
  </si>
  <si>
    <t>Liquid Nitrogen 50L</t>
  </si>
  <si>
    <t>TAB-LIN6</t>
  </si>
  <si>
    <t>Liquid Nitrogen 6L</t>
  </si>
  <si>
    <t>TAB-LIN9</t>
  </si>
  <si>
    <t>Liquid Nitrogen 9L</t>
  </si>
  <si>
    <t>100006</t>
  </si>
  <si>
    <t>Sprayer Liquid Nitrogen</t>
  </si>
  <si>
    <t>TAB-LOX175</t>
  </si>
  <si>
    <t>Liquid Oxygen 175L</t>
  </si>
  <si>
    <t>TAB-LOX360</t>
  </si>
  <si>
    <t>Liquid Oxygen 360L</t>
  </si>
  <si>
    <t>MAN10</t>
  </si>
  <si>
    <t>Manifold Pengisian Gas 10 Titik</t>
  </si>
  <si>
    <t>MAN5</t>
  </si>
  <si>
    <t>Manifold Pengisian Gas 5 Titik</t>
  </si>
  <si>
    <t>MAN6</t>
  </si>
  <si>
    <t>Manifold Pengisian Gas 6 Titik</t>
  </si>
  <si>
    <t>MIX-0007</t>
  </si>
  <si>
    <t>Mixed Gas (60% CO + 40% CO2)</t>
  </si>
  <si>
    <t>NSL-0001</t>
  </si>
  <si>
    <t>Nasal Canula</t>
  </si>
  <si>
    <t>100033</t>
  </si>
  <si>
    <t>Optional Vaporizer Gas Outlet 4Pcs</t>
  </si>
  <si>
    <t>100034</t>
  </si>
  <si>
    <t>Optional Vaporizer Liquid Inlet 3Pcs</t>
  </si>
  <si>
    <t>REG-0001</t>
  </si>
  <si>
    <t>Regulator Gas Acetylene</t>
  </si>
  <si>
    <t>REG-0002</t>
  </si>
  <si>
    <t>Regulator Gas Acetylene Morris</t>
  </si>
  <si>
    <t>REG-0005</t>
  </si>
  <si>
    <t>Regulator Gas Oxygen Medical BMD</t>
  </si>
  <si>
    <t>REG-0010</t>
  </si>
  <si>
    <t>Regulator Gas Oxygen Medical Cosmo Med</t>
  </si>
  <si>
    <t>REG-0006</t>
  </si>
  <si>
    <t>Regulator Gas Oxygen Medical Onemed</t>
  </si>
  <si>
    <t>REG-0009</t>
  </si>
  <si>
    <t>Regulator Gas Oxygen Welding Morris</t>
  </si>
  <si>
    <t>REG-0003</t>
  </si>
  <si>
    <t>Regulator Gas Oksigen Avico</t>
  </si>
  <si>
    <t>REG-0004</t>
  </si>
  <si>
    <t>Regulator Gas Oksigen Nesco</t>
  </si>
  <si>
    <t>SLG-0001</t>
  </si>
  <si>
    <t>Selang Liquid Cryogenic 1 Meter</t>
  </si>
  <si>
    <t>SLG-0002</t>
  </si>
  <si>
    <t>Selang Liquid Cryogenic 3 Meter</t>
  </si>
  <si>
    <t>SLG-0003</t>
  </si>
  <si>
    <t>Selang Manifold 1 Meter</t>
  </si>
  <si>
    <t>100037</t>
  </si>
  <si>
    <t>Selang Manifold 1.5 Meter</t>
  </si>
  <si>
    <t>TB-ACT-0001</t>
  </si>
  <si>
    <t>Tabung Acetylene 40L isi aceton 12kg - UHP</t>
  </si>
  <si>
    <t>TB-00344</t>
  </si>
  <si>
    <t>Tabung Acetylene 40L UC Maroon PF5 - 1 Acetylene UHP 2 kg + Aceton 4 Kg</t>
  </si>
  <si>
    <t>TB-00342</t>
  </si>
  <si>
    <t>Tabung Acetylene 40L UC Maroon PF5 - 1 Acetylene WG 2 kg + Aceton 4 Kg</t>
  </si>
  <si>
    <t>TB-00345</t>
  </si>
  <si>
    <t>Tabung Acetylene 40L UC Maroon PF5 - 1 Acetylene UHP 3 kg + Aceton 6 Kg</t>
  </si>
  <si>
    <t>TB-00343</t>
  </si>
  <si>
    <t>Tabung Acetylene 40L UC Maroon PF5 - 1 Acetylene WG 3 kg+  Aceton 6 Kg</t>
  </si>
  <si>
    <t>Tabung Acetylene 40L UC Maroon PF5 - 1  Acetylene HP 4kg + Aceton 8 Kg</t>
  </si>
  <si>
    <t>TB-ACT</t>
  </si>
  <si>
    <t>Tabung Acetylene 40L UC Maroon PF5 - 1 KS</t>
  </si>
  <si>
    <t>TB-00394</t>
  </si>
  <si>
    <t>Tabung Acetylene 40L UC Maroon PF5 - 1 Acetylene WG 6 kg + Aceton 12 Kg</t>
  </si>
  <si>
    <t>TB-00399</t>
  </si>
  <si>
    <t>Tabung Acetylene 40L UC Maroon PF5 - 1 Isi Acetylene HP 3Kg + Aceton 6 Kg</t>
  </si>
  <si>
    <t>TB-00400</t>
  </si>
  <si>
    <t>Tabung Acetylene 40L UC Maroon PF5 - 1 Isi Acetylene HP 3Kg + Aceton 8 Kg</t>
  </si>
  <si>
    <t>100028</t>
  </si>
  <si>
    <t>Tabung Gas Baru CO2 2L PA Abu QF-2A6 SV KS</t>
  </si>
  <si>
    <t>TB-00386</t>
  </si>
  <si>
    <t>Tabung Gas Baru CO2 2L QF 2A6 SV CO2 1KG FG</t>
  </si>
  <si>
    <t xml:space="preserve"> </t>
  </si>
  <si>
    <t>100032</t>
  </si>
  <si>
    <t>Tabung Gas Baru CO2 3,4L PA Abu QF-2A6 SV CO2 2KG FG</t>
  </si>
  <si>
    <t>Tabung Gas Baru CO2 3,4L PA Abu QF-2A6 SV KS</t>
  </si>
  <si>
    <t>TB-00004</t>
  </si>
  <si>
    <t>Tabung Gas Baru CO2 7L PA Abu QF-2A6 CO2 4KG FG</t>
  </si>
  <si>
    <t>TB-00005</t>
  </si>
  <si>
    <t>Tabung Gas Baru CO2 7L PA Abu QF-2A6 CO2 5KG FG</t>
  </si>
  <si>
    <t>TB-00357</t>
  </si>
  <si>
    <t>Tabung Gas Baru CO2 7L PA Abu QF-2A6 SV KS</t>
  </si>
  <si>
    <t>TB-00003</t>
  </si>
  <si>
    <t>Tabung Gas Baru CO2 7L PA Biru QF-2A6 KS</t>
  </si>
  <si>
    <t>TB-00002</t>
  </si>
  <si>
    <t>Tabung Gas Baru CO2 7L PA Biru QF-2A6 Tutup Besi STD CO2 4KG FG</t>
  </si>
  <si>
    <t>TB-00001</t>
  </si>
  <si>
    <t>Tabung Gas Baru CO2 7L PA Biru QF-2A6 Tutup Besi STD KS</t>
  </si>
  <si>
    <t>TB-00359</t>
  </si>
  <si>
    <t>Tabung Gas Baru CO2 7L QF-2A6 CO2 4KG SV</t>
  </si>
  <si>
    <t>TB-00347</t>
  </si>
  <si>
    <t>Tabung Gas Baru SF6 Plus Isi 50 Kg</t>
  </si>
  <si>
    <t>TB-00237</t>
  </si>
  <si>
    <t>Tabung Gas Baru Vol.0,3 M3 PA Putih QF - 30 H2 UHP</t>
  </si>
  <si>
    <t>TB-00207</t>
  </si>
  <si>
    <t>Tabung Gas Baru Vol.0,3 M3 PA Putih QF - 30 H2 WG</t>
  </si>
  <si>
    <t>TB-00177</t>
  </si>
  <si>
    <t>Tabung Gas Baru Vol.0,3 M3 PA Putih QF -2A6 N2O</t>
  </si>
  <si>
    <t>TB-00067</t>
  </si>
  <si>
    <t>Tabung Gas Baru Vol.0,3 M3 PA Putih QF -2G1 KS</t>
  </si>
  <si>
    <t>TB-00068</t>
  </si>
  <si>
    <t>Tabung Gas Baru Vol.0,3 M3 PA Putih QF -2G1 O2</t>
  </si>
  <si>
    <t>TB-00297</t>
  </si>
  <si>
    <t>Tabung Gas Baru Vol.0,3 M3 PA Putih QF -2G1 SV Ar HP</t>
  </si>
  <si>
    <t>TB-00327</t>
  </si>
  <si>
    <t>Tabung Gas Baru Vol.0,3 M3 PA Putih QF -2G1 SV Ar UHP</t>
  </si>
  <si>
    <t>TB-00267</t>
  </si>
  <si>
    <t>Tabung Gas Baru Vol.0,3 M3 PA Putih QF -2G1 SV Ar Wg</t>
  </si>
  <si>
    <t>TB-00147</t>
  </si>
  <si>
    <t>Tabung Gas Baru Vol.0,3 M3 PA Putih QF -2G1 SV He UHP</t>
  </si>
  <si>
    <t>TB-00117</t>
  </si>
  <si>
    <t>Tabung Gas Baru Vol.0,3 M3 PA Putih QF -2G1 SV N2 WG</t>
  </si>
  <si>
    <t>TB-00007</t>
  </si>
  <si>
    <t>Tabung Gas Baru Vol.0,3 M3 PA Putih QF -2G1 SV O2</t>
  </si>
  <si>
    <t>TB-00006</t>
  </si>
  <si>
    <t>Tabung Gas Baru Vol.0,3 M3 PA Putih QF-2G1 SV KS</t>
  </si>
  <si>
    <t>TB-00071</t>
  </si>
  <si>
    <t>Tabung Gas Baru Vol.0,5 M3 PA Putih QF 2A6 KS</t>
  </si>
  <si>
    <t>TB-00178</t>
  </si>
  <si>
    <t>Tabung Gas Baru Vol.0,5 M3 PA Putih QF 2A6 N2O</t>
  </si>
  <si>
    <t>TB-00070</t>
  </si>
  <si>
    <t>Tabung Gas Baru Vol.0,5 M3 PA PutIh QF 2G1 O2</t>
  </si>
  <si>
    <t>TB-00298</t>
  </si>
  <si>
    <t>Tabung Gas Baru Vol.0,5 M3 PA Putih QF 2G1 SV Ar HP</t>
  </si>
  <si>
    <t>TB-00328</t>
  </si>
  <si>
    <t>Tabung Gas Baru Vol.0,5 M3 PA Putih QF 2G1 SV Ar UHP</t>
  </si>
  <si>
    <t>TB-00268</t>
  </si>
  <si>
    <t xml:space="preserve">Tabung Gas Baru Vol.0,5 M3 PA Putih QF 2G1 SV Ar WG </t>
  </si>
  <si>
    <t>TB-00148</t>
  </si>
  <si>
    <t>Tabung Gas Baru Vol.0,5 M3 PA Putih QF 2G1 SV He UHP</t>
  </si>
  <si>
    <t>TB-00118</t>
  </si>
  <si>
    <t>Tabung Gas Baru Vol.0,5 M3 PA Putih QF 2G1 SV N2 WG</t>
  </si>
  <si>
    <t>TB-00010</t>
  </si>
  <si>
    <t>Tabung Gas Baru Vol.0,5 M3 PA Putih QF -2G1 SV O2</t>
  </si>
  <si>
    <t>TB-00208</t>
  </si>
  <si>
    <t>Tabung Gas Baru Vol.0,5 M3 PA Putih QF 30  H2 HP</t>
  </si>
  <si>
    <t>TB-00238</t>
  </si>
  <si>
    <t>Tabung Gas Baru Vol.0,5 M3 PA Putih QF 30  H2 UHP</t>
  </si>
  <si>
    <t>TB-00008</t>
  </si>
  <si>
    <t>Tabung Gas Baru Vol.0,5 M3 PA Putih QF-2G1 SV KS</t>
  </si>
  <si>
    <t>TB-00350</t>
  </si>
  <si>
    <t>Tabung Gas Baru Vol.0,5 M3 PA Putih Tanpa Kran</t>
  </si>
  <si>
    <t>TB-00011</t>
  </si>
  <si>
    <t>Tabung Gas Baru Vol.1 M3 EC Putih QF - 2G1 KS</t>
  </si>
  <si>
    <t>TB-00012</t>
  </si>
  <si>
    <t>Tabung Gas Baru Vol.1 M3 EC Putih QF-2G1 O2</t>
  </si>
  <si>
    <t>TB-00240</t>
  </si>
  <si>
    <t>Tabung Gas Baru Vol.1 M3 PA Putih QF 30 H2 UHP</t>
  </si>
  <si>
    <t>TB-00014</t>
  </si>
  <si>
    <t>Tabung Gas Baru Vol.1 M3 PA Putih QF-2A6 CO2 4Kg FG</t>
  </si>
  <si>
    <t>TB-00013</t>
  </si>
  <si>
    <t>Tabung Gas Baru Vol.1 M3 PA Putih QF-2A6 KS</t>
  </si>
  <si>
    <t>TB-00179</t>
  </si>
  <si>
    <t>Tabung Gas Baru Vol.1 M3 PA Putih QF-2A6 N2O</t>
  </si>
  <si>
    <t>TB-00299</t>
  </si>
  <si>
    <t>Tabung Gas Baru Vol.1 M3 PA Putih QF-2G1 Ar HP</t>
  </si>
  <si>
    <t>TB-00329</t>
  </si>
  <si>
    <t>Tabung Gas Baru Vol.1 M3 PA Putih QF-2G1 Ar UHP</t>
  </si>
  <si>
    <t>TB-00269</t>
  </si>
  <si>
    <t>Tabung Gas Baru Vol.1 M3 PA Putih QF-2G1 Ar Wg</t>
  </si>
  <si>
    <t>TB-00149</t>
  </si>
  <si>
    <t>Tabung Gas Baru Vol.1 M3 PA Putih QF-2G1 He</t>
  </si>
  <si>
    <t>TB-00073</t>
  </si>
  <si>
    <t>Tabung Gas Baru Vol.1 M3 PA Putih QF-2G1 KS</t>
  </si>
  <si>
    <t>TB-00119</t>
  </si>
  <si>
    <t>Tabung Gas Baru Vol.1 M3 PA Putih QF-2G1 N2 WG</t>
  </si>
  <si>
    <t>TB-00074</t>
  </si>
  <si>
    <t>Tabung Gas Baru Vol.1 M3 PA Putih QF-2G1 O2</t>
  </si>
  <si>
    <t>TB-00300</t>
  </si>
  <si>
    <t>Tabung Gas Baru Vol.1 M3 PA Putih QF-2G1 SV Ar HP</t>
  </si>
  <si>
    <t>TB-00330</t>
  </si>
  <si>
    <t>Tabung Gas Baru Vol.1 M3 PA Putih QF-2G1 SV Ar UHP</t>
  </si>
  <si>
    <t>TB-00270</t>
  </si>
  <si>
    <t>Tabung Gas Baru Vol.1 M3 PA Putih QF-2G1 SV Ar Wg</t>
  </si>
  <si>
    <t>TB-00363</t>
  </si>
  <si>
    <t>Tabung Gas Baru Vol.1 M3 PA Putih QF-2G1 SV He UHP</t>
  </si>
  <si>
    <t>TB-00015</t>
  </si>
  <si>
    <t>Tabung Gas Baru Vol.1 M3 PA Putih QF-2G1 SV KS</t>
  </si>
  <si>
    <t>TB-00120</t>
  </si>
  <si>
    <t>Tabung Gas Baru Vol.1 M3 PA Putih QF-2G1 SV N2 WG</t>
  </si>
  <si>
    <t>TB-00075</t>
  </si>
  <si>
    <t>Tabung Gas Baru Vol.1 M3 PA Putih QF-2G1 SV O2</t>
  </si>
  <si>
    <t>TB-00209</t>
  </si>
  <si>
    <t>Tabung Gas Baru Vol.1 M3 PA Putih QF-30 H2</t>
  </si>
  <si>
    <t>TB-00210</t>
  </si>
  <si>
    <t>Tabung Gas Baru Vol.1 M3 PA Putih QF-30 H2 WG</t>
  </si>
  <si>
    <t>TB-00364</t>
  </si>
  <si>
    <t>Tabung Gas Baru Vol.1 M3 PA Putih Tanpa Kran</t>
  </si>
  <si>
    <t>TB-00391</t>
  </si>
  <si>
    <t>Tabung Gas Baru Vol.1 M3 PA Putih QF-2G1 SV UT</t>
  </si>
  <si>
    <t>TB-00018</t>
  </si>
  <si>
    <t>Tabung Gas Baru Vol.1,5 M3 PA Putih QF 2A6 CO2 6KG FG</t>
  </si>
  <si>
    <t>TB-00017</t>
  </si>
  <si>
    <t>Tabung Gas Baru Vol.1,5 M3 PA Putih QF 2A6 KS</t>
  </si>
  <si>
    <t>TB-00151</t>
  </si>
  <si>
    <t>Tabung Gas Baru Vol.1,5 M3 PA Putih QF 2G1 He UHP</t>
  </si>
  <si>
    <t>TB-00360</t>
  </si>
  <si>
    <t>Tabung Gas Baru Vol.1,5 M3 PA Putih QF 2G1 N2 UHP</t>
  </si>
  <si>
    <t>TB-00241</t>
  </si>
  <si>
    <t>Tabung Gas Baru Vol.1,5 M3 PA Putih QF 30 H2 HP</t>
  </si>
  <si>
    <t>TB-00211</t>
  </si>
  <si>
    <t>Tabung Gas Baru Vol.1,5 M3 PA Putih QF 30 H2 WG</t>
  </si>
  <si>
    <t>TB-00365</t>
  </si>
  <si>
    <t>Tabung Gas Baru Vol.1,5 M3 PA Putih QF-2A6 CO2 5 KG FG</t>
  </si>
  <si>
    <t>TB-00358</t>
  </si>
  <si>
    <t>Tabung Gas Baru Vol.1,5 M3 PA Putih QF-2A6 CO2 5 KG IG</t>
  </si>
  <si>
    <t>TB-00181</t>
  </si>
  <si>
    <t>Tabung Gas Baru Vol.1,5 M3 PA Putih QF-2A6 N2O</t>
  </si>
  <si>
    <t>TB-00384</t>
  </si>
  <si>
    <t>Tabung Gas Baru Vol.1,5 M3 PA Putih QF-2A6 SV KS</t>
  </si>
  <si>
    <t>TB-00301</t>
  </si>
  <si>
    <t>Tabung Gas Baru Vol.1,5 M3 PA Putih QF-2G1 Ar HP</t>
  </si>
  <si>
    <t>TB-00331</t>
  </si>
  <si>
    <t>Tabung Gas Baru Vol.1,5 M3 PA Putih QF-2G1 Ar UHP</t>
  </si>
  <si>
    <t>TB-00271</t>
  </si>
  <si>
    <t>Tabung Gas Baru Vol.1,5 M3 PA Putih QF-2G1 Ar Wg</t>
  </si>
  <si>
    <t>TB-00366</t>
  </si>
  <si>
    <t>Tabung Gas Baru Vol.1,5 M3 PA Putih QF-30 H2 WG</t>
  </si>
  <si>
    <t>TB-00016</t>
  </si>
  <si>
    <t>Tabung Gas Baru Vol.1,5 M3 PA Putih QF-2G1 KS</t>
  </si>
  <si>
    <t>TB-00121</t>
  </si>
  <si>
    <t>Tabung Gas Baru Vol.1,5 M3 PA Putih QF-2G1 N2 WG</t>
  </si>
  <si>
    <t>TB-00076</t>
  </si>
  <si>
    <t>Tabung Gas Baru Vol.1,5 M3 PA Putih QF-2G1 O2</t>
  </si>
  <si>
    <t>TB-00346</t>
  </si>
  <si>
    <t>Tabung Gas Baru Vol.1,5 M3 PA Putih QF-2G1 SV KS</t>
  </si>
  <si>
    <t>TB-00379</t>
  </si>
  <si>
    <t>Tabung Gas Baru Vol.1,5 M3 PA Putih QF-2G1 SV N2 Wg</t>
  </si>
  <si>
    <t>TB-00354</t>
  </si>
  <si>
    <t>Tabung Gas Baru Vol.1,5 M3 PA Putih QF-2G1 SV O2</t>
  </si>
  <si>
    <t>TB-00375</t>
  </si>
  <si>
    <t>Tabung Gas Baru Vol.1,5 M3 PA Putih QF-30</t>
  </si>
  <si>
    <t>TB-00370</t>
  </si>
  <si>
    <t>TB-00069</t>
  </si>
  <si>
    <t>Tabung Gas Baru Vol.1,5 M3 PA Putih Tanpa Kran KS</t>
  </si>
  <si>
    <t>TB-00023</t>
  </si>
  <si>
    <t>Tabung Gas Baru Vol.10 M3 50L-200Bar JP Biru QF - T1 KS</t>
  </si>
  <si>
    <t>TB-00019</t>
  </si>
  <si>
    <t>Tabung Gas Baru Vol.10 m3 50L-200Bar JP Biru QF-6B KS</t>
  </si>
  <si>
    <t>TB-00123</t>
  </si>
  <si>
    <t>Tabung Gas Baru Vol.10 m3 50L-200Bar JP Biru QF-6B N2 WG</t>
  </si>
  <si>
    <t>TB-00025</t>
  </si>
  <si>
    <t>Tabung Gas Baru Vol.10 m3 50L-200Bar JP Biru QF-6B O2</t>
  </si>
  <si>
    <t>TB-00024</t>
  </si>
  <si>
    <t>Tabung Gas Baru Vol.10 m3 50L-200Bar JP Biru Tanpa Kran</t>
  </si>
  <si>
    <t>TB-00367</t>
  </si>
  <si>
    <t>Tabung Gas Baru Vol.10 m3 50L-200Bar UC Biru QF-6B KS</t>
  </si>
  <si>
    <t>TB-00362</t>
  </si>
  <si>
    <t>Tabung Gas Baru Vol.10 m3 50L-200Bar UC Biru Tanpa Kran</t>
  </si>
  <si>
    <t>TB-00020</t>
  </si>
  <si>
    <t>Tabung Gas Baru Vol.10 M3 68L QF 2A6 KS</t>
  </si>
  <si>
    <t>TB-00182</t>
  </si>
  <si>
    <t>Tabung Gas Baru Vol.10 M3 68L UC Merah QF 2A6  N2O</t>
  </si>
  <si>
    <t>TB-00302</t>
  </si>
  <si>
    <t>Tabung Gas Baru Vol.10 M3 68L UC Merah QF 2G1 Ar HP</t>
  </si>
  <si>
    <t>TB-00332</t>
  </si>
  <si>
    <t>Tabung Gas Baru Vol.10 M3 68L UC Merah QF 2G1 Ar UHP</t>
  </si>
  <si>
    <t>TB-00272</t>
  </si>
  <si>
    <t>Tabung Gas Baru Vol.10 M3 68L UC Merah QF 2G1 Ar Wg</t>
  </si>
  <si>
    <t>TB-00021</t>
  </si>
  <si>
    <t>Tabung Gas Baru Vol.10 M3 68L UC Merah QF 2G1 KS</t>
  </si>
  <si>
    <t>TB-00122</t>
  </si>
  <si>
    <t>Tabung Gas Baru Vol.10 M3 68L UC Merah QF 2G1 N2 WG</t>
  </si>
  <si>
    <t>TB-00078</t>
  </si>
  <si>
    <t>Tabung Gas Baru Vol.10 M3 68L UC Merah QF 2G1 O2</t>
  </si>
  <si>
    <t>TB-00242</t>
  </si>
  <si>
    <t>Tabung Gas Baru Vol.10 M3 68L UC Merah QF 30 H2 UHP</t>
  </si>
  <si>
    <t>TB-00212</t>
  </si>
  <si>
    <t>Tabung Gas Baru Vol.10 M3 68L UC Merah QF 30 H2 WG</t>
  </si>
  <si>
    <t>TB-00077</t>
  </si>
  <si>
    <t>Tabung Gas Baru Vol.10 M3 68L UC Merah QF-2A6 KS</t>
  </si>
  <si>
    <t>TB-00152</t>
  </si>
  <si>
    <t>Tabung Gas Baru Vol.10 M3 68L UC Merah QF-2G1 He UHP</t>
  </si>
  <si>
    <t>100009</t>
  </si>
  <si>
    <r>
      <t xml:space="preserve">Tabung Gas Baru Vol.10 M3 </t>
    </r>
    <r>
      <rPr>
        <sz val="11"/>
        <rFont val="Calibri"/>
        <family val="2"/>
      </rPr>
      <t>50L UC Biru QF - T1 KS</t>
    </r>
  </si>
  <si>
    <t>TB-00135</t>
  </si>
  <si>
    <r>
      <t xml:space="preserve">Tabung Gas Baru Vol.10 m3 </t>
    </r>
    <r>
      <rPr>
        <sz val="11"/>
        <rFont val="Calibri"/>
        <family val="2"/>
      </rPr>
      <t>50L UC Biru QF-6B He UHP</t>
    </r>
  </si>
  <si>
    <t>TB-00105</t>
  </si>
  <si>
    <r>
      <t xml:space="preserve">Tabung Gas Baru Vol.10 m3 </t>
    </r>
    <r>
      <rPr>
        <sz val="11"/>
        <rFont val="Calibri"/>
        <family val="2"/>
      </rPr>
      <t>50L UC Biru QF-6B N2 WG</t>
    </r>
  </si>
  <si>
    <t>TB-00396</t>
  </si>
  <si>
    <t>Tabung Gas Baru Vol.10 M3 68L UC Merah QF-30 KS</t>
  </si>
  <si>
    <t>TB-00398</t>
  </si>
  <si>
    <t>Tabung Gas Baru Vol.10 m3 68L UC-Merah QF-2A6 CO2 40 Kg</t>
  </si>
  <si>
    <t>TB-00166</t>
  </si>
  <si>
    <t>Tabung Gas Baru Vol.2 M3 PA Biru QF-2A6 N2O</t>
  </si>
  <si>
    <t>TB-00286</t>
  </si>
  <si>
    <t>Tabung Gas Baru Vol.2 M3 PA Biru QF-2G1 Ar HP</t>
  </si>
  <si>
    <t>TB-00316</t>
  </si>
  <si>
    <t>Tabung Gas Baru Vol.2 M3 PA Biru QF-2G1 Ar UHP</t>
  </si>
  <si>
    <t>TB-00256</t>
  </si>
  <si>
    <t>Tabung Gas Baru Vol.2 M3 PA Biru QF-2G1 Ar Wg</t>
  </si>
  <si>
    <t>TB-00026</t>
  </si>
  <si>
    <t>Tabung Gas Baru Vol.2 M3 PA Biru QF-2G1 KS</t>
  </si>
  <si>
    <t>TB-00106</t>
  </si>
  <si>
    <t>Tabung Gas Baru Vol.2 M3 PA Biru QF-2G1 N2 WG</t>
  </si>
  <si>
    <t>TB-00027</t>
  </si>
  <si>
    <t>Tabung Gas Baru Vol.2 M3 PA Biru QF-2G1 O2</t>
  </si>
  <si>
    <t>TB-00167</t>
  </si>
  <si>
    <t>Tabung Gas Baru Vol.2 M3 PA Putih  QF-2A6 N2O</t>
  </si>
  <si>
    <t>TB-00029</t>
  </si>
  <si>
    <t>Tabung Gas Baru Vol.2 M3 PA Putih QF 2A6 CO2 8Kg FG</t>
  </si>
  <si>
    <t>TB-00028</t>
  </si>
  <si>
    <t>Tabung Gas Baru Vol.2 M3 PA Putih QF 2A6 KS</t>
  </si>
  <si>
    <t>TB-00136</t>
  </si>
  <si>
    <t>Tabung Gas Baru Vol.2 M3 PA Putih QF 2G1 He UHP</t>
  </si>
  <si>
    <t>TB-00137</t>
  </si>
  <si>
    <t>Tabung Gas Baru Vol.2 M3 PA Putih QF 2G1 SV He uhp</t>
  </si>
  <si>
    <t>TB-00197</t>
  </si>
  <si>
    <t>Tabung Gas Baru Vol.2 M3 PA Putih QF 30 H2 HP</t>
  </si>
  <si>
    <t>TB-00227</t>
  </si>
  <si>
    <t>Tabung Gas Baru Vol.2 M3 PA Putih QF 30 H2 UHP</t>
  </si>
  <si>
    <t>TB-00287</t>
  </si>
  <si>
    <t>Tabung Gas Baru Vol.2 M3 PA Putih QF-2G1 SV Ar HP</t>
  </si>
  <si>
    <t>TB-00317</t>
  </si>
  <si>
    <t>Tabung Gas Baru Vol.2 M3 PA Putih QF-2G1 SV Ar UHP</t>
  </si>
  <si>
    <t>TB-00257</t>
  </si>
  <si>
    <t>Tabung Gas Baru Vol.2 M3 PA Putih QF-2G1 SV arWG</t>
  </si>
  <si>
    <t>TB-00030</t>
  </si>
  <si>
    <t>Tabung Gas Baru Vol.2 M3 PA Putih QF-2G1 SV KS</t>
  </si>
  <si>
    <t>TB-00107</t>
  </si>
  <si>
    <t>Tabung Gas Baru Vol.2 M3 PA Putih QF-2G1 SV N2 WG</t>
  </si>
  <si>
    <t>TB-00388</t>
  </si>
  <si>
    <t>Tabung Gas Baru Vol.2 M3 PA Putih QF-2G1 SV N2 UHP</t>
  </si>
  <si>
    <t>TB-00031</t>
  </si>
  <si>
    <t>Tabung Gas Baru Vol.2 M3 PA Putih QF-2G1 SV O2</t>
  </si>
  <si>
    <t>TB-00032</t>
  </si>
  <si>
    <t>Tabung Gas Baru Vol.2 M3 PA Putih Tanpa Kran</t>
  </si>
  <si>
    <t>TB-00276</t>
  </si>
  <si>
    <r>
      <t xml:space="preserve">Tabung Gas Baru Vol.3 M3 - Putih </t>
    </r>
    <r>
      <rPr>
        <sz val="11"/>
        <rFont val="Calibri"/>
        <family val="2"/>
      </rPr>
      <t>QF 2G1 ArWg</t>
    </r>
  </si>
  <si>
    <t>TB-00353</t>
  </si>
  <si>
    <t>Tabung Gas Baru Vol.3 M3 - Putih QF 2A6 CO2 12 KG FG</t>
  </si>
  <si>
    <t>TB-00352</t>
  </si>
  <si>
    <t>Tabung Gas Baru Vol.3 M3 - Putih QF 2A6 KS</t>
  </si>
  <si>
    <t>TB-00306</t>
  </si>
  <si>
    <t>Tabung Gas Baru Vol.3 M3 - Putih QF 2G1 SV Ar HP</t>
  </si>
  <si>
    <t>TB-00336</t>
  </si>
  <si>
    <t>Tabung Gas Baru Vol.3 M3 - Putih QF 2G1 SV Ar UHP</t>
  </si>
  <si>
    <t>TB-00275</t>
  </si>
  <si>
    <t>Tabung Gas Baru Vol.3 M3 - Putih QF 2G1 SV Ar Wg</t>
  </si>
  <si>
    <t>TB-00156</t>
  </si>
  <si>
    <t>Tabung Gas Baru Vol.3 M3 - Putih QF 2G1 SV He UHP</t>
  </si>
  <si>
    <t>TB-00126</t>
  </si>
  <si>
    <t>Tabung Gas Baru Vol.3 M3 - Putih QF 2G1 SV N2 WG</t>
  </si>
  <si>
    <t>TB-00246</t>
  </si>
  <si>
    <t>Tabung Gas Baru Vol.3 M3 - Putih QF 30 H2 UHP</t>
  </si>
  <si>
    <t>TB-00216</t>
  </si>
  <si>
    <t>Tabung Gas Baru Vol.3 M3 - Putih QF 30 H2 WG</t>
  </si>
  <si>
    <t>TB-00186</t>
  </si>
  <si>
    <t>Tabung Gas Baru Vol.3 M3 - Putih QF-2A6 SV N2O</t>
  </si>
  <si>
    <t>TB-00084</t>
  </si>
  <si>
    <t>Tabung Gas Baru Vol.3 M3 - Putih QF-2G1 SV KS</t>
  </si>
  <si>
    <t>TB-00085</t>
  </si>
  <si>
    <t>Tabung Gas Baru Vol.3 M3 - Putih QF-2G1 SV O2</t>
  </si>
  <si>
    <t>TB-00080</t>
  </si>
  <si>
    <t>Tabung Gas Baru Vol.3 M3 KS</t>
  </si>
  <si>
    <t>TB-00083</t>
  </si>
  <si>
    <t>Tabung Gas Baru Vol.3 M3 O2</t>
  </si>
  <si>
    <t>TB-00382</t>
  </si>
  <si>
    <t>Tabung Gas Baru Vol.6 m3 - Biru QF-2G1 O2 UHP (impor)</t>
  </si>
  <si>
    <t>TB-00089</t>
  </si>
  <si>
    <t>Tabung Gas Baru Vol.6 m3 JP - Biru QF 2A6 CO2 25KG IG</t>
  </si>
  <si>
    <t>TB-00088</t>
  </si>
  <si>
    <t>Tabung Gas Baru Vol.6 m3 JP - Biru QF 2A6 KS</t>
  </si>
  <si>
    <t>TB-00036</t>
  </si>
  <si>
    <t>Tabung Gas Baru Vol.6 M3 JP - Biru QF-2G1 O2 WG</t>
  </si>
  <si>
    <t>TB-00037</t>
  </si>
  <si>
    <t>Tabung Gas Baru Vol.6 M3 JP - Biru Tanpa Kran</t>
  </si>
  <si>
    <t>TB-00034</t>
  </si>
  <si>
    <t>Tabung Gas Baru Vol.6 M3 JP - Putih QF-2G1 KS</t>
  </si>
  <si>
    <t>TB-00035</t>
  </si>
  <si>
    <t>Tabung Gas Baru Vol.6 M3 JP - Putih QF-2G1 O2</t>
  </si>
  <si>
    <t>TB-00389</t>
  </si>
  <si>
    <t xml:space="preserve">Tabung Gas Baru Vol.6 M3 UC - Biru QF-2G1 O2 UHP Lokal </t>
  </si>
  <si>
    <t>TB-00349</t>
  </si>
  <si>
    <t>Tabung Gas Baru Vol.6 M3 UC - Biru AR WG</t>
  </si>
  <si>
    <t>TB-00356</t>
  </si>
  <si>
    <t>Tabung Gas Baru Vol.6 m3 UC - Biru QF 2A6 CO2 15 KG FG</t>
  </si>
  <si>
    <t>TB-00348</t>
  </si>
  <si>
    <t>Tabung Gas Baru Vol.6 m3 UC - Biru QF 2A6 CO2 20KG IG</t>
  </si>
  <si>
    <t>TB-00385</t>
  </si>
  <si>
    <t>Tabung Gas Baru Vol.6 m3 UC - Biru QF 2A6 CO2 25KG FG</t>
  </si>
  <si>
    <t>TB-00044</t>
  </si>
  <si>
    <t>Tabung Gas Baru Vol.6 m3 UC - Biru QF 2A6 CO2 25KG IG</t>
  </si>
  <si>
    <t>TB-00043</t>
  </si>
  <si>
    <t>Tabung Gas Baru Vol.6 m3 UC - Biru QF 2A6 KS</t>
  </si>
  <si>
    <t>100005</t>
  </si>
  <si>
    <t>Tabung Gas Baru Vol.6 m3 UC - Biru QF 2G1 N2 UHP</t>
  </si>
  <si>
    <t>TB-00045</t>
  </si>
  <si>
    <t>Tabung Gas Baru Vol.6 m3 UC - Biru QF- 30 KS</t>
  </si>
  <si>
    <t>TB-00322</t>
  </si>
  <si>
    <t>Tabung Gas Baru Vol.6 m3 UC - Biru QF 6B Ar UHP</t>
  </si>
  <si>
    <t>TB-00292</t>
  </si>
  <si>
    <t>Tabung Gas Baru Vol.6 m3 UC - Biru QF 6B arHP</t>
  </si>
  <si>
    <t>TB-00262</t>
  </si>
  <si>
    <t>Tabung Gas Baru Vol.6 m3 UC - Biru QF 6B ArWg</t>
  </si>
  <si>
    <t>TB-00142</t>
  </si>
  <si>
    <t>Tabung Gas Baru Vol.6 m3 UC - Biru QF 6B He UHP</t>
  </si>
  <si>
    <t>TB-00047</t>
  </si>
  <si>
    <t>Tabung Gas Baru Vol.6 m3 UC - Biru QF 6B KS</t>
  </si>
  <si>
    <t>TB-00112</t>
  </si>
  <si>
    <t>Tabung Gas Baru Vol.6 m3 UC - Biru QF 6B N2 WG</t>
  </si>
  <si>
    <t>TB-00048</t>
  </si>
  <si>
    <t>Tabung Gas Baru Vol.6 m3 UC - Biru QF 6B O2</t>
  </si>
  <si>
    <t>TB-00171</t>
  </si>
  <si>
    <t>Tabung Gas Baru Vol.6 m3 UC - Biru QF-2A6 N2O 15 kg</t>
  </si>
  <si>
    <t>100018</t>
  </si>
  <si>
    <t>Tabung Gas Baru Vol.6 m3 UC - Biru QF-2A6 N2O 20 kg</t>
  </si>
  <si>
    <t>TB-00291</t>
  </si>
  <si>
    <t>Tabung Gas Baru Vol.6 m3 UC - Biru QF-2G1 Ar HP</t>
  </si>
  <si>
    <t>TB-00321</t>
  </si>
  <si>
    <t>Tabung Gas Baru Vol.6 m3 UC - Biru QF-2G1 Ar UHP</t>
  </si>
  <si>
    <t>TB-00261</t>
  </si>
  <si>
    <t>Tabung Gas Baru Vol.6 m3 UC - Biru QF-2G1 Ar Wg</t>
  </si>
  <si>
    <t>TB-00141</t>
  </si>
  <si>
    <t>Tabung Gas Baru Vol.6 m3 UC - Biru QF-2G1 He UHP</t>
  </si>
  <si>
    <t>TB-00041</t>
  </si>
  <si>
    <t>Tabung Gas Baru Vol.6 m3 UC - Biru QF-2G1 KS</t>
  </si>
  <si>
    <t>TB-00111</t>
  </si>
  <si>
    <t>Tabung Gas Baru Vol.6 m3 UC - Biru QF-2G1 N2 WG</t>
  </si>
  <si>
    <t>TB-00042</t>
  </si>
  <si>
    <t>Tabung Gas Baru Vol.6 m3 UC - Biru QF-2G1 O2</t>
  </si>
  <si>
    <t>TB-00361</t>
  </si>
  <si>
    <t>Tabung Gas Baru Vol.6 M3 UC - Biru QF-2G1 O2 HP</t>
  </si>
  <si>
    <t>TB-00383</t>
  </si>
  <si>
    <t>Tabung Gas Baru Vol.6 m3 UC - Biru QF-2G1 SV Ar WG</t>
  </si>
  <si>
    <t>TB-00371</t>
  </si>
  <si>
    <t>Tabung Gas Baru Vol.6 m3 UC - Biru QF-2G1 SV KS</t>
  </si>
  <si>
    <t>TB-00377</t>
  </si>
  <si>
    <t>Tabung Gas Baru Vol.6 m3 UC - Biru QF-2G1 SV N2 Hp</t>
  </si>
  <si>
    <t>TB-00378</t>
  </si>
  <si>
    <t>Tabung Gas Baru Vol.6 m3 UC - Biru QF-2G1 SV N2 Wg</t>
  </si>
  <si>
    <t>TB-00380</t>
  </si>
  <si>
    <t>Tabung Gas Baru Vol.6 m3 UC - Biru QF-2G1 SV O2</t>
  </si>
  <si>
    <t>TB-00355</t>
  </si>
  <si>
    <t>Tabung Gas Baru Vol.6 m3 UC - Biru QF-2G1 UT</t>
  </si>
  <si>
    <t>TB-00231</t>
  </si>
  <si>
    <t>Tabung Gas Baru Vol.6 m3 UC - Biru QF-30 H2 UHP</t>
  </si>
  <si>
    <t>TB-00046</t>
  </si>
  <si>
    <t>Tabung Gas Baru Vol.6 m3 UC - Biru QF-30 H2 WG</t>
  </si>
  <si>
    <t>TB-00392</t>
  </si>
  <si>
    <t>Tabung Gas Baru Vol.6 m3 UC - Biru QF-2A6 KS</t>
  </si>
  <si>
    <t>TB-00049</t>
  </si>
  <si>
    <t>Tabung Gas Baru Vol.6 m3 UC - Biru Tanpa Kran</t>
  </si>
  <si>
    <t>TB-00373</t>
  </si>
  <si>
    <t>Tabung Gas Baru Vol.6 m3 UC - Merah QF - 30 H2 HP</t>
  </si>
  <si>
    <t>TB-00374</t>
  </si>
  <si>
    <t>Tabung Gas Baru Vol.6 m3 UC - Merah QF - 30 H2 UHP</t>
  </si>
  <si>
    <t>TB-00093</t>
  </si>
  <si>
    <t>Tabung Gas Baru Vol.6 m3 UC - Merah QF - 30 H2 WG</t>
  </si>
  <si>
    <t>TB-00092</t>
  </si>
  <si>
    <t>Tabung Gas Baru Vol.6 m3 UC - Merah QF - 30 KS</t>
  </si>
  <si>
    <t>100031</t>
  </si>
  <si>
    <t>Tabung Gas Baru Vol.6 m3 UC - Merah QF 2A6 CO2 25KG IG</t>
  </si>
  <si>
    <t>TB-00051</t>
  </si>
  <si>
    <t>Tabung Gas Baru Vol.6 m3 UC - Merah QF-2A6 KS</t>
  </si>
  <si>
    <t>TB-00372</t>
  </si>
  <si>
    <t>Tabung Gas Baru Vol.6 m3 UC - Merah QF-2G1  SV KS</t>
  </si>
  <si>
    <t>TB-00090</t>
  </si>
  <si>
    <t>Tabung Gas Baru Vol.6 m3 UC - Merah QF-2G1 KS</t>
  </si>
  <si>
    <t>TB-00376</t>
  </si>
  <si>
    <t>Tabung Gas Baru Vol.6 m3 UC - Merah QF-2G1 N2</t>
  </si>
  <si>
    <t>TB-00091</t>
  </si>
  <si>
    <t>Tabung Gas Baru Vol.6 m3 UC - Merah QF-2G1 O2</t>
  </si>
  <si>
    <t>TB-00053</t>
  </si>
  <si>
    <t>Tabung Gas Baru Vol.6 m3 UC - Merah Tanpa Kran</t>
  </si>
  <si>
    <t>TB-00173</t>
  </si>
  <si>
    <t>Tabung Gas Baru Vol.6 m3 UC - Putih QF-2A6 N2O 15 KG</t>
  </si>
  <si>
    <t>100022</t>
  </si>
  <si>
    <t>Tabung Gas Baru Vol.6 m3 UC - Putih QF-2G1  SV KS</t>
  </si>
  <si>
    <t>TB-00293</t>
  </si>
  <si>
    <t>Tabung Gas Baru Vol.6 m3 UC - Putih QF-2G1 Ar HP</t>
  </si>
  <si>
    <t>TB-00323</t>
  </si>
  <si>
    <t>Tabung Gas Baru Vol.6 m3 UC - Putih QF-2G1 Ar UHP</t>
  </si>
  <si>
    <t>TB-00263</t>
  </si>
  <si>
    <t>Tabung Gas Baru Vol.6 m3 UC - Putih QF-2G1 Ar Wg</t>
  </si>
  <si>
    <t>TB-00143</t>
  </si>
  <si>
    <t>Tabung Gas Baru Vol.6 m3 UC - Putih QF-2G1 He UHP</t>
  </si>
  <si>
    <t>TB-00055</t>
  </si>
  <si>
    <t>Tabung Gas Baru Vol.6 m3 UC - Putih QF-2G1 KS</t>
  </si>
  <si>
    <t>TB-00113</t>
  </si>
  <si>
    <t>Tabung Gas Baru Vol.6 m3 UC - Putih QF-2G1 N2 WG</t>
  </si>
  <si>
    <t>TB-00387</t>
  </si>
  <si>
    <t>Tabung Gas Baru Vol.6 m3 UC - Putih QF-2G1 SV N2 WG</t>
  </si>
  <si>
    <t>TB-00056</t>
  </si>
  <si>
    <t>Tabung Gas Baru Vol.6 m3 UC - Putih QF-2G1 O2</t>
  </si>
  <si>
    <t>TB-00381</t>
  </si>
  <si>
    <t>Tabung Gas Baru Vol.6 m3 UC - Putih QF-2G1 SV O2</t>
  </si>
  <si>
    <t>100036</t>
  </si>
  <si>
    <t>Tabung Gas Baru Vol.6 m3 UC - Putih QF-2G1 SV UT</t>
  </si>
  <si>
    <t>TB-00233</t>
  </si>
  <si>
    <t>Tabung Gas Baru Vol.6 m3 UC - Putih QF-30 H2 UHP</t>
  </si>
  <si>
    <t>TB-00203</t>
  </si>
  <si>
    <t>Tabung Gas Baru Vol.6 m3 UC - Putih QF-30 H2 WG</t>
  </si>
  <si>
    <t>TB-00395</t>
  </si>
  <si>
    <t>Tabung Gas Baru Vol.6 m3 UC - Putih QF-2G1 N2 UHP</t>
  </si>
  <si>
    <t>TB-00368</t>
  </si>
  <si>
    <t>Tabung Gas Baru Vol.6 m3 YA - Putih QF-2G1 KS</t>
  </si>
  <si>
    <t>TB-00369</t>
  </si>
  <si>
    <t>Tabung Gas Baru Vol.6 m3 YA - Putih QF-2G1 O2</t>
  </si>
  <si>
    <t>TB-00397</t>
  </si>
  <si>
    <t>Tabung Gas Baru Vol.6 m3 YA - Biru QF-2G1 KS</t>
  </si>
  <si>
    <t>TB-00401</t>
  </si>
  <si>
    <t>Tabung Gas Baru Vol.6 m3 YA - Biru QF-2G1 O2</t>
  </si>
  <si>
    <t>100030</t>
  </si>
  <si>
    <t>Tabung Gas Baru Vol.7 m3 JP - Biru QF 2A6 KS</t>
  </si>
  <si>
    <t>TB-00063</t>
  </si>
  <si>
    <t>Tabung Gas Baru Vol.7 m3 JP Biru QF- 30 KS</t>
  </si>
  <si>
    <t>TB-00191</t>
  </si>
  <si>
    <t>Tabung Gas Baru Vol.7 M3 JP Biru QF-2A6 N2O 15KG</t>
  </si>
  <si>
    <t>TB-00311</t>
  </si>
  <si>
    <t>Tabung Gas Baru Vol.7 M3 JP Biru QF-2G1 Ar HP</t>
  </si>
  <si>
    <t>TB-00341</t>
  </si>
  <si>
    <t>Tabung Gas Baru Vol.7 M3 JP Biru QF-2G1 Ar UHP</t>
  </si>
  <si>
    <t>TB-00281</t>
  </si>
  <si>
    <t>Tabung Gas Baru Vol.7 M3 JP Biru QF-2G1 Ar Wg</t>
  </si>
  <si>
    <t>TB-00251</t>
  </si>
  <si>
    <t>Tabung Gas Baru Vol.7 M3 JP Biru QF-2G1 H2 UHP</t>
  </si>
  <si>
    <t>TB-00161</t>
  </si>
  <si>
    <t>Tabung Gas Baru Vol.7 M3 JP Biru QF-2G1 He UHP</t>
  </si>
  <si>
    <t>TB-00098</t>
  </si>
  <si>
    <t>Tabung Gas Baru Vol.7 M3 JP Biru QF-2G1 KS</t>
  </si>
  <si>
    <t>TB-00131</t>
  </si>
  <si>
    <t>Tabung Gas Baru Vol.7 M3 JP Biru QF-2G1 N2 WG</t>
  </si>
  <si>
    <t>TB-00101</t>
  </si>
  <si>
    <t>Tabung Gas Baru Vol.7 M3 JP Biru QF-2G1 O2</t>
  </si>
  <si>
    <t>TB-00221</t>
  </si>
  <si>
    <t>Tabung Gas Baru Vol.7 M3 JP Biru QF-30 H2 WG</t>
  </si>
  <si>
    <t>TB-00351</t>
  </si>
  <si>
    <t>Tabung Gas Baru Vol.7 M3 JP Biru Tanpa Kran</t>
  </si>
  <si>
    <t>TB-00064</t>
  </si>
  <si>
    <t>Tabung Gas Baru Vol.7 m3 JP QF- 30 H2 WG</t>
  </si>
  <si>
    <t>TROL-0001</t>
  </si>
  <si>
    <t>Troli Single 0.5 M3</t>
  </si>
  <si>
    <t>TROL-0002</t>
  </si>
  <si>
    <t>Troli Single 1 M3</t>
  </si>
  <si>
    <t>TROL-0003</t>
  </si>
  <si>
    <t>Troli Single 2 M3</t>
  </si>
  <si>
    <t>TROL-0004</t>
  </si>
  <si>
    <t>Troli Single 6 M3</t>
  </si>
  <si>
    <t>TROL-0005</t>
  </si>
  <si>
    <t>Troli UNION 1 M3</t>
  </si>
  <si>
    <t>TROL-0006</t>
  </si>
  <si>
    <t>Troli UNION 1.5 M3</t>
  </si>
  <si>
    <t>TROL-0007</t>
  </si>
  <si>
    <t>Troli UNION 2 M3</t>
  </si>
  <si>
    <t>TROL-0008</t>
  </si>
  <si>
    <t>Troli UNION 6 M3</t>
  </si>
  <si>
    <t>TTP-0001</t>
  </si>
  <si>
    <t>Tutup Tabung Acetylene Plastik</t>
  </si>
  <si>
    <t>TTP-0005</t>
  </si>
  <si>
    <t>Tutup Tabung Baja Standard</t>
  </si>
  <si>
    <t>TTP-0003</t>
  </si>
  <si>
    <t>Tutup Tulip</t>
  </si>
  <si>
    <t>TTP-0004</t>
  </si>
  <si>
    <t>Tutup Tulip Plastik</t>
  </si>
  <si>
    <t>JS-VGL175</t>
  </si>
  <si>
    <t>Vacum VGL 175L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</si>
</sst>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 x14ac:knownFonts="1"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10"/>
      <color rgb="FF000000"/>
      <name val="Times New Roman"/>
      <family val="1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1" fontId="2" fillId="0" borderId="0" applyFont="0" applyFill="0" applyBorder="0" applyAlignment="0" applyProtection="0"/>
    <xf numFmtId="0" fontId="1" fillId="0" borderId="0"/>
    <xf numFmtId="0" fontId="4" fillId="0" borderId="0"/>
  </cellStyleXfs>
  <cellXfs count="11">
    <xf numFmtId="0" fontId="0" fillId="0" borderId="0" xfId="0"/>
    <xf numFmtId="0" fontId="3" fillId="0" borderId="0" xfId="0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3" fillId="0" borderId="0" xfId="0" applyFont="1"/>
    <xf numFmtId="1" fontId="0" fillId="0" borderId="0" xfId="0" applyNumberFormat="1"/>
    <xf numFmtId="0" fontId="1" fillId="0" borderId="0" xfId="2"/>
    <xf numFmtId="0" fontId="5" fillId="0" borderId="0" xfId="3" applyFont="1" applyAlignment="1">
      <alignment vertical="top" wrapText="1"/>
    </xf>
    <xf numFmtId="0" fontId="5" fillId="0" borderId="0" xfId="0" applyFont="1" applyAlignment="1">
      <alignment vertical="top"/>
    </xf>
    <xf numFmtId="0" fontId="0" fillId="0" borderId="0" xfId="0" applyAlignment="1">
      <alignment horizontal="left"/>
    </xf>
    <xf numFmtId="41" fontId="0" fillId="0" borderId="0" xfId="0" applyNumberFormat="1"/>
    <xf numFmtId="41" fontId="0" fillId="0" borderId="0" xfId="1" applyFont="1" applyFill="1" applyBorder="1"/>
  </cellXfs>
  <cellStyles count="4">
    <cellStyle name="Comma [0]" xfId="1" builtinId="6"/>
    <cellStyle name="Normal" xfId="0" builtinId="0"/>
    <cellStyle name="Normal 2" xfId="3" xr:uid="{5F377F4C-0D8A-40B9-B397-A4BE738E45F0}"/>
    <cellStyle name="Normal 3" xfId="2" xr:uid="{F2E658A4-1CCD-4B39-B0CA-281169E0AB2D}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06%20Juni/130821-%20Harga%20Terendah%20TGR-SBY%20Juni%202021%20-%2022%20Jun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ung"/>
      <sheetName val="Kran"/>
      <sheetName val="Gas"/>
      <sheetName val="Liquid"/>
      <sheetName val="22 Juni"/>
    </sheetNames>
    <sheetDataSet>
      <sheetData sheetId="0">
        <row r="5">
          <cell r="C5">
            <v>450000</v>
          </cell>
          <cell r="D5">
            <v>450000</v>
          </cell>
        </row>
        <row r="6">
          <cell r="C6">
            <v>450000</v>
          </cell>
          <cell r="D6">
            <v>450000</v>
          </cell>
        </row>
        <row r="7">
          <cell r="C7">
            <v>450000</v>
          </cell>
          <cell r="D7">
            <v>450000</v>
          </cell>
        </row>
        <row r="8">
          <cell r="C8">
            <v>450000</v>
          </cell>
          <cell r="D8">
            <v>450000</v>
          </cell>
        </row>
        <row r="9">
          <cell r="C9">
            <v>450000</v>
          </cell>
          <cell r="D9">
            <v>450000</v>
          </cell>
        </row>
        <row r="10">
          <cell r="C10">
            <v>450000</v>
          </cell>
          <cell r="D10">
            <v>450000</v>
          </cell>
        </row>
        <row r="11">
          <cell r="C11">
            <v>415000</v>
          </cell>
          <cell r="D11">
            <v>435000</v>
          </cell>
        </row>
        <row r="12">
          <cell r="C12">
            <v>425000</v>
          </cell>
          <cell r="D12">
            <v>445000</v>
          </cell>
        </row>
        <row r="13">
          <cell r="C13">
            <v>435000</v>
          </cell>
          <cell r="D13">
            <v>455000</v>
          </cell>
        </row>
        <row r="14">
          <cell r="C14">
            <v>455000</v>
          </cell>
          <cell r="D14">
            <v>455000</v>
          </cell>
        </row>
        <row r="15">
          <cell r="C15">
            <v>675000</v>
          </cell>
          <cell r="D15">
            <v>695000</v>
          </cell>
        </row>
        <row r="16">
          <cell r="C16">
            <v>675000</v>
          </cell>
          <cell r="D16">
            <v>695000</v>
          </cell>
        </row>
        <row r="17">
          <cell r="C17">
            <v>750000</v>
          </cell>
          <cell r="D17">
            <v>770000</v>
          </cell>
        </row>
        <row r="18">
          <cell r="C18">
            <v>1200000</v>
          </cell>
          <cell r="D18">
            <v>1225000</v>
          </cell>
        </row>
        <row r="19">
          <cell r="C19">
            <v>1300000</v>
          </cell>
          <cell r="D19">
            <v>1300000</v>
          </cell>
        </row>
        <row r="20">
          <cell r="C20">
            <v>1300000</v>
          </cell>
          <cell r="D20">
            <v>1300000</v>
          </cell>
        </row>
        <row r="21">
          <cell r="C21">
            <v>1430000</v>
          </cell>
          <cell r="D21">
            <v>1300000</v>
          </cell>
        </row>
        <row r="22">
          <cell r="C22">
            <v>1150000</v>
          </cell>
          <cell r="D22">
            <v>1175000</v>
          </cell>
        </row>
        <row r="23">
          <cell r="C23">
            <v>5500000</v>
          </cell>
          <cell r="D23">
            <v>5500000</v>
          </cell>
        </row>
        <row r="24">
          <cell r="C24">
            <v>1500000</v>
          </cell>
          <cell r="D24">
            <v>1500000</v>
          </cell>
        </row>
        <row r="25">
          <cell r="C25">
            <v>2075000</v>
          </cell>
          <cell r="D25">
            <v>2125000</v>
          </cell>
        </row>
        <row r="26">
          <cell r="C26">
            <v>2425000</v>
          </cell>
          <cell r="D26">
            <v>2475000</v>
          </cell>
        </row>
        <row r="27">
          <cell r="C27">
            <v>1150000</v>
          </cell>
          <cell r="D27">
            <v>1175000</v>
          </cell>
        </row>
        <row r="28">
          <cell r="C28">
            <v>19000000</v>
          </cell>
          <cell r="D28">
            <v>19500000</v>
          </cell>
        </row>
        <row r="29">
          <cell r="C29">
            <v>18000000</v>
          </cell>
          <cell r="D29">
            <v>18500000</v>
          </cell>
        </row>
        <row r="30">
          <cell r="C30">
            <v>24000000</v>
          </cell>
          <cell r="D30">
            <v>24500000</v>
          </cell>
        </row>
        <row r="31">
          <cell r="C31">
            <v>20500000</v>
          </cell>
          <cell r="D31">
            <v>21000000</v>
          </cell>
        </row>
        <row r="32">
          <cell r="C32">
            <v>32000000</v>
          </cell>
          <cell r="D32">
            <v>32500000</v>
          </cell>
        </row>
        <row r="33">
          <cell r="C33">
            <v>55000000</v>
          </cell>
          <cell r="D33">
            <v>56000000</v>
          </cell>
        </row>
        <row r="34">
          <cell r="C34">
            <v>55000000</v>
          </cell>
          <cell r="D34">
            <v>56000000</v>
          </cell>
        </row>
        <row r="35">
          <cell r="C35">
            <v>6500000</v>
          </cell>
          <cell r="D35">
            <v>7000000</v>
          </cell>
        </row>
        <row r="36">
          <cell r="C36">
            <v>9700000</v>
          </cell>
          <cell r="D36">
            <v>10200000</v>
          </cell>
        </row>
        <row r="37">
          <cell r="C37">
            <v>17500000</v>
          </cell>
          <cell r="D37">
            <v>18250000</v>
          </cell>
        </row>
        <row r="38">
          <cell r="C38">
            <v>2200000</v>
          </cell>
          <cell r="D38">
            <v>2200000</v>
          </cell>
        </row>
        <row r="39">
          <cell r="C39">
            <v>3300000</v>
          </cell>
          <cell r="D39">
            <v>3300000</v>
          </cell>
        </row>
        <row r="40">
          <cell r="C40">
            <v>2900000</v>
          </cell>
          <cell r="D40">
            <v>3000000</v>
          </cell>
        </row>
        <row r="41">
          <cell r="C41">
            <v>2900000</v>
          </cell>
          <cell r="D41">
            <v>3000000</v>
          </cell>
        </row>
        <row r="42">
          <cell r="C42">
            <v>3000000</v>
          </cell>
          <cell r="D42">
            <v>3100000</v>
          </cell>
        </row>
        <row r="43">
          <cell r="C43">
            <v>3150000</v>
          </cell>
          <cell r="D43">
            <v>3250000</v>
          </cell>
        </row>
        <row r="44">
          <cell r="C44">
            <v>5750000</v>
          </cell>
          <cell r="D44">
            <v>5900000</v>
          </cell>
        </row>
        <row r="45">
          <cell r="C45">
            <v>6850000</v>
          </cell>
          <cell r="D45">
            <v>7000000</v>
          </cell>
        </row>
        <row r="46">
          <cell r="C46">
            <v>7750000</v>
          </cell>
          <cell r="D46">
            <v>7900000</v>
          </cell>
        </row>
        <row r="47">
          <cell r="C47">
            <v>13750000</v>
          </cell>
          <cell r="D47">
            <v>13950000</v>
          </cell>
        </row>
        <row r="48">
          <cell r="C48">
            <v>20000</v>
          </cell>
          <cell r="D48">
            <v>20000</v>
          </cell>
        </row>
      </sheetData>
      <sheetData sheetId="1">
        <row r="5">
          <cell r="C5">
            <v>115000</v>
          </cell>
          <cell r="D5">
            <v>115000</v>
          </cell>
        </row>
        <row r="6">
          <cell r="C6">
            <v>135000</v>
          </cell>
          <cell r="D6">
            <v>135000</v>
          </cell>
        </row>
        <row r="7">
          <cell r="C7">
            <v>105000</v>
          </cell>
          <cell r="D7">
            <v>105000</v>
          </cell>
        </row>
        <row r="8">
          <cell r="C8">
            <v>125000</v>
          </cell>
          <cell r="D8">
            <v>125000</v>
          </cell>
        </row>
        <row r="9">
          <cell r="C9">
            <v>115000</v>
          </cell>
          <cell r="D9">
            <v>115000</v>
          </cell>
        </row>
        <row r="10">
          <cell r="C10">
            <v>115000</v>
          </cell>
          <cell r="D10">
            <v>115000</v>
          </cell>
        </row>
        <row r="11">
          <cell r="C11">
            <v>105000</v>
          </cell>
          <cell r="D11">
            <v>105000</v>
          </cell>
        </row>
        <row r="12">
          <cell r="C12">
            <v>105000</v>
          </cell>
          <cell r="D12">
            <v>105000</v>
          </cell>
        </row>
        <row r="13">
          <cell r="C13">
            <v>115000</v>
          </cell>
          <cell r="D13">
            <v>115000</v>
          </cell>
        </row>
        <row r="14">
          <cell r="C14">
            <v>135000</v>
          </cell>
          <cell r="D14">
            <v>135000</v>
          </cell>
        </row>
        <row r="15">
          <cell r="C15">
            <v>105000</v>
          </cell>
          <cell r="D15">
            <v>105000</v>
          </cell>
        </row>
        <row r="16">
          <cell r="C16">
            <v>95000</v>
          </cell>
        </row>
        <row r="17">
          <cell r="C17">
            <v>350000</v>
          </cell>
          <cell r="D17">
            <v>350000</v>
          </cell>
        </row>
        <row r="18">
          <cell r="C18">
            <v>160000</v>
          </cell>
          <cell r="D18">
            <v>160000</v>
          </cell>
        </row>
        <row r="19">
          <cell r="C19">
            <v>220000</v>
          </cell>
        </row>
        <row r="20">
          <cell r="C20">
            <v>145000</v>
          </cell>
          <cell r="D20">
            <v>145000</v>
          </cell>
        </row>
        <row r="21">
          <cell r="C21">
            <v>300000</v>
          </cell>
        </row>
        <row r="22">
          <cell r="C22">
            <v>220000</v>
          </cell>
          <cell r="D22">
            <v>220000</v>
          </cell>
        </row>
        <row r="25">
          <cell r="C25">
            <v>20000</v>
          </cell>
          <cell r="D25">
            <v>20000</v>
          </cell>
        </row>
        <row r="26">
          <cell r="C26">
            <v>30000</v>
          </cell>
          <cell r="D26">
            <v>30000</v>
          </cell>
        </row>
        <row r="27">
          <cell r="C27">
            <v>35000</v>
          </cell>
          <cell r="D27">
            <v>35000</v>
          </cell>
        </row>
        <row r="28">
          <cell r="C28">
            <v>35000</v>
          </cell>
          <cell r="D28">
            <v>35000</v>
          </cell>
        </row>
        <row r="29">
          <cell r="C29">
            <v>65000</v>
          </cell>
          <cell r="D29">
            <v>65000</v>
          </cell>
        </row>
        <row r="30">
          <cell r="C30">
            <v>140000</v>
          </cell>
          <cell r="D30">
            <v>140000</v>
          </cell>
        </row>
        <row r="34">
          <cell r="C34">
            <v>-50000</v>
          </cell>
          <cell r="D34">
            <v>-50000</v>
          </cell>
        </row>
        <row r="35">
          <cell r="C35">
            <v>8000</v>
          </cell>
          <cell r="D35">
            <v>8000</v>
          </cell>
        </row>
        <row r="36">
          <cell r="C36">
            <v>15000</v>
          </cell>
          <cell r="D36">
            <v>15000</v>
          </cell>
        </row>
        <row r="37">
          <cell r="C37">
            <v>125000</v>
          </cell>
          <cell r="D37">
            <v>125000</v>
          </cell>
        </row>
        <row r="38">
          <cell r="C38">
            <v>550000</v>
          </cell>
          <cell r="D38">
            <v>550000</v>
          </cell>
        </row>
        <row r="39">
          <cell r="C39">
            <v>210000</v>
          </cell>
          <cell r="D39">
            <v>210000</v>
          </cell>
        </row>
        <row r="40">
          <cell r="C40">
            <v>210000</v>
          </cell>
          <cell r="D40">
            <v>210000</v>
          </cell>
        </row>
        <row r="41">
          <cell r="C41">
            <v>550000</v>
          </cell>
          <cell r="D41">
            <v>550000</v>
          </cell>
        </row>
        <row r="42">
          <cell r="C42">
            <v>280000</v>
          </cell>
          <cell r="D42">
            <v>280000</v>
          </cell>
        </row>
        <row r="43">
          <cell r="C43">
            <v>210000</v>
          </cell>
          <cell r="D43">
            <v>210000</v>
          </cell>
        </row>
        <row r="44">
          <cell r="C44">
            <v>210000</v>
          </cell>
          <cell r="D44">
            <v>210000</v>
          </cell>
        </row>
        <row r="45">
          <cell r="C45">
            <v>350000</v>
          </cell>
          <cell r="D45">
            <v>350000</v>
          </cell>
        </row>
        <row r="46">
          <cell r="C46">
            <v>525000</v>
          </cell>
          <cell r="D46">
            <v>525000</v>
          </cell>
        </row>
        <row r="47">
          <cell r="C47">
            <v>300000</v>
          </cell>
          <cell r="D47">
            <v>300000</v>
          </cell>
        </row>
        <row r="48">
          <cell r="C48">
            <v>900000</v>
          </cell>
          <cell r="D48">
            <v>195000</v>
          </cell>
        </row>
        <row r="49">
          <cell r="C49">
            <v>6000000</v>
          </cell>
          <cell r="D49">
            <v>6250000</v>
          </cell>
        </row>
        <row r="50">
          <cell r="C50">
            <v>7200000</v>
          </cell>
          <cell r="D50">
            <v>7500000</v>
          </cell>
        </row>
        <row r="51">
          <cell r="C51">
            <v>12000000</v>
          </cell>
          <cell r="D51">
            <v>12500000</v>
          </cell>
        </row>
        <row r="52">
          <cell r="C52">
            <v>55000</v>
          </cell>
          <cell r="D52">
            <v>65000</v>
          </cell>
        </row>
        <row r="53">
          <cell r="C53">
            <v>55000</v>
          </cell>
          <cell r="D53">
            <v>65000</v>
          </cell>
        </row>
        <row r="54">
          <cell r="C54">
            <v>60000</v>
          </cell>
          <cell r="D54">
            <v>75000</v>
          </cell>
        </row>
        <row r="55">
          <cell r="C55">
            <v>375000</v>
          </cell>
          <cell r="D55">
            <v>400000</v>
          </cell>
        </row>
        <row r="56">
          <cell r="C56">
            <v>100000</v>
          </cell>
          <cell r="D56">
            <v>100000</v>
          </cell>
        </row>
        <row r="57">
          <cell r="C57">
            <v>125000</v>
          </cell>
          <cell r="D57">
            <v>125000</v>
          </cell>
        </row>
        <row r="58">
          <cell r="C58">
            <v>125000</v>
          </cell>
          <cell r="D58">
            <v>125000</v>
          </cell>
        </row>
        <row r="59">
          <cell r="C59">
            <v>750000</v>
          </cell>
          <cell r="D59">
            <v>750000</v>
          </cell>
        </row>
        <row r="60">
          <cell r="C60">
            <v>50000</v>
          </cell>
          <cell r="D60">
            <v>50000</v>
          </cell>
        </row>
        <row r="61">
          <cell r="C61">
            <v>15000</v>
          </cell>
          <cell r="D61">
            <v>15000</v>
          </cell>
        </row>
        <row r="62">
          <cell r="C62">
            <v>50000</v>
          </cell>
          <cell r="D62">
            <v>50000</v>
          </cell>
        </row>
        <row r="63">
          <cell r="C63">
            <v>50000</v>
          </cell>
          <cell r="D63">
            <v>50000</v>
          </cell>
        </row>
        <row r="68">
          <cell r="C68">
            <v>715000</v>
          </cell>
          <cell r="D68">
            <v>715000</v>
          </cell>
        </row>
        <row r="70">
          <cell r="C70">
            <v>1500000</v>
          </cell>
          <cell r="D70">
            <v>1650000</v>
          </cell>
        </row>
        <row r="71">
          <cell r="C71">
            <v>2500000</v>
          </cell>
          <cell r="D71">
            <v>2500000</v>
          </cell>
        </row>
        <row r="72">
          <cell r="C72">
            <v>715000</v>
          </cell>
          <cell r="D72">
            <v>715000</v>
          </cell>
        </row>
        <row r="73">
          <cell r="C73">
            <v>225000</v>
          </cell>
          <cell r="D73">
            <v>225000</v>
          </cell>
        </row>
        <row r="77">
          <cell r="C77">
            <v>220000</v>
          </cell>
          <cell r="D77">
            <v>220000</v>
          </cell>
        </row>
        <row r="78">
          <cell r="C78">
            <v>2200000</v>
          </cell>
          <cell r="D78">
            <v>2200000</v>
          </cell>
        </row>
        <row r="79">
          <cell r="C79">
            <v>2500000</v>
          </cell>
          <cell r="D79">
            <v>2500000</v>
          </cell>
        </row>
      </sheetData>
      <sheetData sheetId="2">
        <row r="5">
          <cell r="C5">
            <v>15000</v>
          </cell>
          <cell r="D5">
            <v>15000</v>
          </cell>
        </row>
        <row r="6">
          <cell r="C6">
            <v>15000</v>
          </cell>
          <cell r="D6">
            <v>15000</v>
          </cell>
        </row>
        <row r="7">
          <cell r="C7">
            <v>15000</v>
          </cell>
          <cell r="D7">
            <v>15000</v>
          </cell>
        </row>
        <row r="8">
          <cell r="C8">
            <v>15000</v>
          </cell>
          <cell r="D8">
            <v>15000</v>
          </cell>
        </row>
        <row r="9">
          <cell r="C9">
            <v>15000</v>
          </cell>
          <cell r="D9">
            <v>15000</v>
          </cell>
        </row>
        <row r="10">
          <cell r="C10">
            <v>15000</v>
          </cell>
          <cell r="D10">
            <v>15000</v>
          </cell>
        </row>
        <row r="11">
          <cell r="C11">
            <v>20000</v>
          </cell>
          <cell r="D11">
            <v>20000</v>
          </cell>
        </row>
        <row r="12">
          <cell r="C12">
            <v>20000</v>
          </cell>
          <cell r="D12">
            <v>20000</v>
          </cell>
        </row>
        <row r="13">
          <cell r="C13">
            <v>25000</v>
          </cell>
          <cell r="D13">
            <v>25000</v>
          </cell>
        </row>
        <row r="14">
          <cell r="C14">
            <v>25000</v>
          </cell>
          <cell r="D14">
            <v>30000</v>
          </cell>
        </row>
        <row r="15">
          <cell r="C15">
            <v>30000</v>
          </cell>
          <cell r="D15">
            <v>30000</v>
          </cell>
        </row>
        <row r="16">
          <cell r="C16">
            <v>125000</v>
          </cell>
          <cell r="D16">
            <v>125000</v>
          </cell>
        </row>
        <row r="17">
          <cell r="C17">
            <v>1100000</v>
          </cell>
          <cell r="D17">
            <v>1100000</v>
          </cell>
        </row>
        <row r="18">
          <cell r="C18">
            <v>45000</v>
          </cell>
          <cell r="D18">
            <v>45000</v>
          </cell>
        </row>
        <row r="19">
          <cell r="C19">
            <v>550000</v>
          </cell>
          <cell r="D19">
            <v>600000</v>
          </cell>
        </row>
        <row r="20">
          <cell r="C20">
            <v>25000</v>
          </cell>
          <cell r="D20">
            <v>25000</v>
          </cell>
        </row>
        <row r="21">
          <cell r="C21">
            <v>30000</v>
          </cell>
          <cell r="D21">
            <v>35000</v>
          </cell>
        </row>
        <row r="22">
          <cell r="C22">
            <v>35000</v>
          </cell>
          <cell r="D22">
            <v>35000</v>
          </cell>
        </row>
        <row r="23">
          <cell r="C23">
            <v>550000</v>
          </cell>
          <cell r="D23">
            <v>600000</v>
          </cell>
        </row>
        <row r="24">
          <cell r="C24">
            <v>75000</v>
          </cell>
          <cell r="D24">
            <v>75000</v>
          </cell>
        </row>
        <row r="25">
          <cell r="C25">
            <v>125000</v>
          </cell>
          <cell r="D25">
            <v>125000</v>
          </cell>
        </row>
        <row r="26">
          <cell r="C26">
            <v>150000</v>
          </cell>
          <cell r="D26">
            <v>150000</v>
          </cell>
        </row>
        <row r="27">
          <cell r="C27">
            <v>250000</v>
          </cell>
          <cell r="D27">
            <v>250000</v>
          </cell>
        </row>
        <row r="28">
          <cell r="C28">
            <v>550000</v>
          </cell>
          <cell r="D28">
            <v>600000</v>
          </cell>
        </row>
        <row r="30">
          <cell r="C30">
            <v>990000</v>
          </cell>
          <cell r="D30">
            <v>1040000</v>
          </cell>
        </row>
        <row r="31">
          <cell r="C31">
            <v>50000</v>
          </cell>
          <cell r="D31">
            <v>60000</v>
          </cell>
        </row>
        <row r="32">
          <cell r="C32">
            <v>25000</v>
          </cell>
          <cell r="D32">
            <v>50000</v>
          </cell>
        </row>
        <row r="33">
          <cell r="C33">
            <v>40000</v>
          </cell>
          <cell r="D33">
            <v>70000</v>
          </cell>
        </row>
        <row r="34">
          <cell r="C34">
            <v>45000</v>
          </cell>
          <cell r="D34">
            <v>120000</v>
          </cell>
        </row>
        <row r="35">
          <cell r="C35">
            <v>550000</v>
          </cell>
          <cell r="D35">
            <v>550000</v>
          </cell>
        </row>
        <row r="36">
          <cell r="C36">
            <v>1600000</v>
          </cell>
          <cell r="D36">
            <v>1600000</v>
          </cell>
        </row>
        <row r="37">
          <cell r="C37">
            <v>200000</v>
          </cell>
          <cell r="D37">
            <v>200000</v>
          </cell>
        </row>
        <row r="38">
          <cell r="C38">
            <v>1500000</v>
          </cell>
          <cell r="D38">
            <v>1500000</v>
          </cell>
        </row>
        <row r="39">
          <cell r="C39">
            <v>1500000</v>
          </cell>
          <cell r="D39">
            <v>1500000</v>
          </cell>
        </row>
        <row r="40">
          <cell r="C40">
            <v>1500000</v>
          </cell>
          <cell r="D40">
            <v>1500000</v>
          </cell>
        </row>
        <row r="41">
          <cell r="C41">
            <v>1500000</v>
          </cell>
          <cell r="D41">
            <v>1500000</v>
          </cell>
        </row>
        <row r="42">
          <cell r="C42">
            <v>2250000</v>
          </cell>
          <cell r="D42">
            <v>2250000</v>
          </cell>
        </row>
        <row r="43">
          <cell r="C43">
            <v>3000000</v>
          </cell>
          <cell r="D43">
            <v>3000000</v>
          </cell>
        </row>
        <row r="44">
          <cell r="C44">
            <v>6000000</v>
          </cell>
          <cell r="D44">
            <v>5250000</v>
          </cell>
        </row>
        <row r="45">
          <cell r="C45">
            <v>7000000</v>
          </cell>
          <cell r="D45">
            <v>5975000</v>
          </cell>
        </row>
        <row r="46">
          <cell r="C46">
            <v>10000000</v>
          </cell>
          <cell r="D46">
            <v>3500000</v>
          </cell>
        </row>
        <row r="47">
          <cell r="C47">
            <v>30000</v>
          </cell>
        </row>
        <row r="50">
          <cell r="C50">
            <v>45000</v>
          </cell>
        </row>
        <row r="53">
          <cell r="C53">
            <v>90000</v>
          </cell>
        </row>
        <row r="54">
          <cell r="C54">
            <v>120000</v>
          </cell>
        </row>
        <row r="55">
          <cell r="C55">
            <v>150000</v>
          </cell>
        </row>
        <row r="56">
          <cell r="C56">
            <v>240000</v>
          </cell>
        </row>
        <row r="57">
          <cell r="C57">
            <v>270000</v>
          </cell>
        </row>
        <row r="58">
          <cell r="C58">
            <v>40000</v>
          </cell>
          <cell r="D58">
            <v>40000</v>
          </cell>
        </row>
        <row r="59">
          <cell r="C59">
            <v>40000</v>
          </cell>
          <cell r="D59">
            <v>40000</v>
          </cell>
        </row>
        <row r="60">
          <cell r="C60">
            <v>50000</v>
          </cell>
          <cell r="D60">
            <v>50000</v>
          </cell>
        </row>
        <row r="61">
          <cell r="C61">
            <v>50000</v>
          </cell>
          <cell r="D61">
            <v>50000</v>
          </cell>
        </row>
        <row r="62">
          <cell r="C62">
            <v>50000</v>
          </cell>
          <cell r="D62">
            <v>60000</v>
          </cell>
        </row>
        <row r="63">
          <cell r="C63">
            <v>70000</v>
          </cell>
          <cell r="D63">
            <v>70000</v>
          </cell>
        </row>
        <row r="64">
          <cell r="C64">
            <v>90000</v>
          </cell>
          <cell r="D64">
            <v>90000</v>
          </cell>
        </row>
        <row r="65">
          <cell r="C65">
            <v>135000</v>
          </cell>
          <cell r="D65">
            <v>100000</v>
          </cell>
        </row>
        <row r="66">
          <cell r="C66">
            <v>135000</v>
          </cell>
          <cell r="D66">
            <v>100000</v>
          </cell>
        </row>
        <row r="67">
          <cell r="C67">
            <v>180000</v>
          </cell>
          <cell r="D67">
            <v>120000</v>
          </cell>
        </row>
        <row r="68">
          <cell r="C68">
            <v>225000</v>
          </cell>
          <cell r="D68">
            <v>137500</v>
          </cell>
        </row>
        <row r="69">
          <cell r="C69">
            <v>375000</v>
          </cell>
          <cell r="D69">
            <v>247500</v>
          </cell>
        </row>
        <row r="71">
          <cell r="C71">
            <v>270000</v>
          </cell>
          <cell r="D71">
            <v>165000</v>
          </cell>
        </row>
        <row r="72">
          <cell r="C72">
            <v>100000</v>
          </cell>
          <cell r="D72">
            <v>100000</v>
          </cell>
        </row>
        <row r="73">
          <cell r="C73">
            <v>360000</v>
          </cell>
          <cell r="D73">
            <v>360000</v>
          </cell>
        </row>
        <row r="74">
          <cell r="C74">
            <v>405000</v>
          </cell>
          <cell r="D74">
            <v>405000</v>
          </cell>
        </row>
        <row r="76">
          <cell r="C76">
            <v>540000</v>
          </cell>
          <cell r="D76">
            <v>540000</v>
          </cell>
        </row>
        <row r="77">
          <cell r="C77">
            <v>540000</v>
          </cell>
          <cell r="D77">
            <v>540000</v>
          </cell>
        </row>
        <row r="78">
          <cell r="C78">
            <v>540000</v>
          </cell>
          <cell r="D78">
            <v>540000</v>
          </cell>
        </row>
        <row r="79">
          <cell r="C79">
            <v>810000</v>
          </cell>
          <cell r="D79">
            <v>810000</v>
          </cell>
        </row>
        <row r="80">
          <cell r="C80">
            <v>1080000</v>
          </cell>
          <cell r="D80">
            <v>1080000</v>
          </cell>
        </row>
        <row r="81">
          <cell r="C81">
            <v>1620000</v>
          </cell>
          <cell r="D81">
            <v>1620000</v>
          </cell>
        </row>
        <row r="82">
          <cell r="C82">
            <v>1800000</v>
          </cell>
          <cell r="D82">
            <v>1800000</v>
          </cell>
        </row>
        <row r="83">
          <cell r="C83">
            <v>2400000</v>
          </cell>
          <cell r="D83">
            <v>2400000</v>
          </cell>
        </row>
        <row r="84">
          <cell r="C84">
            <v>3000000</v>
          </cell>
          <cell r="D84">
            <v>3000000</v>
          </cell>
        </row>
        <row r="86">
          <cell r="C86">
            <v>50000</v>
          </cell>
          <cell r="D86">
            <v>75000</v>
          </cell>
        </row>
        <row r="87">
          <cell r="C87">
            <v>50000</v>
          </cell>
          <cell r="D87">
            <v>75000</v>
          </cell>
        </row>
        <row r="88">
          <cell r="C88">
            <v>50000</v>
          </cell>
          <cell r="D88">
            <v>75000</v>
          </cell>
        </row>
        <row r="89">
          <cell r="C89">
            <v>70000</v>
          </cell>
          <cell r="D89">
            <v>100000</v>
          </cell>
        </row>
        <row r="90">
          <cell r="C90">
            <v>90000</v>
          </cell>
          <cell r="D90">
            <v>125000</v>
          </cell>
        </row>
        <row r="91">
          <cell r="C91">
            <v>125000</v>
          </cell>
          <cell r="D91">
            <v>150000</v>
          </cell>
        </row>
        <row r="93">
          <cell r="C93">
            <v>150000</v>
          </cell>
          <cell r="D93">
            <v>175000</v>
          </cell>
        </row>
        <row r="94">
          <cell r="C94">
            <v>66000</v>
          </cell>
          <cell r="D94">
            <v>66000</v>
          </cell>
        </row>
        <row r="95">
          <cell r="C95">
            <v>66000</v>
          </cell>
          <cell r="D95">
            <v>66000</v>
          </cell>
        </row>
        <row r="96">
          <cell r="C96">
            <v>150000</v>
          </cell>
          <cell r="D96">
            <v>150000</v>
          </cell>
        </row>
        <row r="97">
          <cell r="C97">
            <v>150000</v>
          </cell>
          <cell r="D97">
            <v>150000</v>
          </cell>
        </row>
        <row r="98">
          <cell r="C98">
            <v>150000</v>
          </cell>
          <cell r="D98">
            <v>150000</v>
          </cell>
        </row>
        <row r="99">
          <cell r="C99">
            <v>150000</v>
          </cell>
          <cell r="D99">
            <v>150000</v>
          </cell>
        </row>
        <row r="100">
          <cell r="C100">
            <v>150000</v>
          </cell>
          <cell r="D100">
            <v>150000</v>
          </cell>
        </row>
        <row r="101">
          <cell r="C101">
            <v>250000</v>
          </cell>
          <cell r="D101">
            <v>250000</v>
          </cell>
        </row>
        <row r="103">
          <cell r="C103">
            <v>500000</v>
          </cell>
          <cell r="D103">
            <v>500000</v>
          </cell>
        </row>
        <row r="104">
          <cell r="C104">
            <v>500000</v>
          </cell>
          <cell r="D104">
            <v>500000</v>
          </cell>
        </row>
        <row r="105">
          <cell r="C105">
            <v>500000</v>
          </cell>
          <cell r="D105">
            <v>500000</v>
          </cell>
        </row>
        <row r="106">
          <cell r="C106">
            <v>500000</v>
          </cell>
          <cell r="D106">
            <v>500000</v>
          </cell>
        </row>
        <row r="107">
          <cell r="C107">
            <v>500000</v>
          </cell>
          <cell r="D107">
            <v>500000</v>
          </cell>
        </row>
        <row r="110">
          <cell r="C110">
            <v>150000</v>
          </cell>
          <cell r="D110">
            <v>175000</v>
          </cell>
        </row>
        <row r="112">
          <cell r="C112">
            <v>160000</v>
          </cell>
          <cell r="D112">
            <v>280000</v>
          </cell>
        </row>
        <row r="113">
          <cell r="C113">
            <v>600000</v>
          </cell>
          <cell r="D113">
            <v>600000</v>
          </cell>
        </row>
        <row r="114">
          <cell r="C114">
            <v>550000</v>
          </cell>
          <cell r="D114">
            <v>550000</v>
          </cell>
        </row>
        <row r="115">
          <cell r="C115">
            <v>550000</v>
          </cell>
          <cell r="D115">
            <v>550000</v>
          </cell>
        </row>
        <row r="116">
          <cell r="C116">
            <v>700000</v>
          </cell>
          <cell r="D116">
            <v>700000</v>
          </cell>
        </row>
        <row r="117">
          <cell r="C117">
            <v>550000</v>
          </cell>
          <cell r="D117">
            <v>650000</v>
          </cell>
        </row>
        <row r="118">
          <cell r="C118">
            <v>550000</v>
          </cell>
          <cell r="D118">
            <v>600000</v>
          </cell>
        </row>
        <row r="119">
          <cell r="C119">
            <v>1100000</v>
          </cell>
          <cell r="D119">
            <v>1150000</v>
          </cell>
        </row>
        <row r="120">
          <cell r="C120">
            <v>300000</v>
          </cell>
          <cell r="D120">
            <v>300000</v>
          </cell>
        </row>
        <row r="121">
          <cell r="C121">
            <v>325000</v>
          </cell>
          <cell r="D121">
            <v>325000</v>
          </cell>
        </row>
        <row r="122">
          <cell r="C122">
            <v>360000</v>
          </cell>
          <cell r="D122">
            <v>360000</v>
          </cell>
        </row>
        <row r="123">
          <cell r="C123">
            <v>35000</v>
          </cell>
          <cell r="D123">
            <v>35000</v>
          </cell>
        </row>
        <row r="124">
          <cell r="C124">
            <v>140000</v>
          </cell>
          <cell r="D124">
            <v>140000</v>
          </cell>
        </row>
        <row r="125">
          <cell r="C125">
            <v>210000</v>
          </cell>
          <cell r="D125">
            <v>210000</v>
          </cell>
        </row>
        <row r="126">
          <cell r="C126">
            <v>99000</v>
          </cell>
          <cell r="D126">
            <v>125000</v>
          </cell>
        </row>
        <row r="127">
          <cell r="C127">
            <v>99000</v>
          </cell>
          <cell r="D127">
            <v>125000</v>
          </cell>
        </row>
        <row r="128">
          <cell r="C128">
            <v>125000</v>
          </cell>
          <cell r="D128">
            <v>150000</v>
          </cell>
        </row>
        <row r="129">
          <cell r="C129">
            <v>175000</v>
          </cell>
          <cell r="D129">
            <v>200000</v>
          </cell>
        </row>
        <row r="130">
          <cell r="C130">
            <v>200000</v>
          </cell>
          <cell r="D130">
            <v>225000</v>
          </cell>
        </row>
        <row r="136">
          <cell r="C136">
            <v>475000</v>
          </cell>
          <cell r="D136">
            <v>360000</v>
          </cell>
        </row>
        <row r="137">
          <cell r="C137">
            <v>375000</v>
          </cell>
          <cell r="D137">
            <v>375000</v>
          </cell>
        </row>
        <row r="138">
          <cell r="C138">
            <v>500000</v>
          </cell>
          <cell r="D138">
            <v>500000</v>
          </cell>
        </row>
        <row r="139">
          <cell r="C139">
            <v>500000</v>
          </cell>
          <cell r="D139">
            <v>500000</v>
          </cell>
        </row>
        <row r="140">
          <cell r="C140">
            <v>500000</v>
          </cell>
          <cell r="D140">
            <v>500000</v>
          </cell>
        </row>
        <row r="141">
          <cell r="C141">
            <v>500000</v>
          </cell>
          <cell r="D141">
            <v>500000</v>
          </cell>
        </row>
        <row r="142">
          <cell r="C142">
            <v>650000</v>
          </cell>
          <cell r="D142">
            <v>650000</v>
          </cell>
        </row>
      </sheetData>
      <sheetData sheetId="3">
        <row r="5">
          <cell r="C5">
            <v>660000</v>
          </cell>
          <cell r="D5">
            <v>660000</v>
          </cell>
        </row>
        <row r="7">
          <cell r="C7">
            <v>1320000</v>
          </cell>
          <cell r="D7">
            <v>1320000</v>
          </cell>
        </row>
        <row r="8">
          <cell r="C8">
            <v>20000</v>
          </cell>
          <cell r="D8">
            <v>20000</v>
          </cell>
        </row>
        <row r="9">
          <cell r="C9">
            <v>660000</v>
          </cell>
          <cell r="D9">
            <v>660000</v>
          </cell>
        </row>
        <row r="11">
          <cell r="C11">
            <v>1320000</v>
          </cell>
          <cell r="D11">
            <v>1320000</v>
          </cell>
        </row>
        <row r="12">
          <cell r="C12">
            <v>125000</v>
          </cell>
          <cell r="D12">
            <v>125000</v>
          </cell>
        </row>
        <row r="13">
          <cell r="C13">
            <v>150000</v>
          </cell>
          <cell r="D13">
            <v>150000</v>
          </cell>
        </row>
        <row r="14">
          <cell r="C14">
            <v>240000</v>
          </cell>
          <cell r="D14">
            <v>240000</v>
          </cell>
        </row>
        <row r="16">
          <cell r="C16">
            <v>325000</v>
          </cell>
          <cell r="D16">
            <v>325000</v>
          </cell>
        </row>
        <row r="17">
          <cell r="C17">
            <v>415000</v>
          </cell>
          <cell r="D17">
            <v>415000</v>
          </cell>
        </row>
        <row r="18">
          <cell r="C18">
            <v>590000</v>
          </cell>
          <cell r="D18">
            <v>590000</v>
          </cell>
        </row>
        <row r="20">
          <cell r="C20">
            <v>1750000</v>
          </cell>
          <cell r="D20">
            <v>1750000</v>
          </cell>
        </row>
        <row r="21">
          <cell r="C21">
            <v>3850000</v>
          </cell>
          <cell r="D21">
            <v>3850000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CAF43-D670-4055-A44B-ED87CC349C49}">
  <dimension ref="A1:K473"/>
  <sheetViews>
    <sheetView tabSelected="1" topLeftCell="B1" zoomScale="115" zoomScaleNormal="115" workbookViewId="0">
      <pane ySplit="1" topLeftCell="A324" activePane="bottomLeft" state="frozen"/>
      <selection pane="bottomLeft" activeCell="I338" sqref="I338"/>
    </sheetView>
  </sheetViews>
  <sheetFormatPr defaultRowHeight="15" x14ac:dyDescent="0.25"/>
  <cols>
    <col min="1" max="1" width="16" bestFit="1" customWidth="1"/>
    <col min="2" max="2" width="66.5703125" bestFit="1" customWidth="1"/>
    <col min="3" max="3" width="19" style="4" bestFit="1" customWidth="1"/>
    <col min="4" max="4" width="13.140625" bestFit="1" customWidth="1"/>
    <col min="5" max="5" width="12.28515625" customWidth="1"/>
    <col min="6" max="6" width="3.28515625" customWidth="1"/>
    <col min="7" max="7" width="11.140625" hidden="1" customWidth="1"/>
    <col min="9" max="9" width="10.5703125" bestFit="1" customWidth="1"/>
  </cols>
  <sheetData>
    <row r="1" spans="1:4" x14ac:dyDescent="0.25">
      <c r="A1" s="1" t="s">
        <v>0</v>
      </c>
      <c r="B1" s="1" t="s">
        <v>1</v>
      </c>
      <c r="C1" s="2" t="s">
        <v>2</v>
      </c>
      <c r="D1" s="3" t="s">
        <v>3</v>
      </c>
    </row>
    <row r="2" spans="1:4" x14ac:dyDescent="0.25">
      <c r="A2" t="s">
        <v>4</v>
      </c>
      <c r="B2" t="s">
        <v>5</v>
      </c>
      <c r="C2" s="4">
        <f>[1]Gas!C121</f>
        <v>325000</v>
      </c>
      <c r="D2" s="4">
        <f>[1]Gas!D121</f>
        <v>325000</v>
      </c>
    </row>
    <row r="3" spans="1:4" x14ac:dyDescent="0.25">
      <c r="A3" t="s">
        <v>6</v>
      </c>
      <c r="B3" t="s">
        <v>7</v>
      </c>
      <c r="C3" s="4">
        <f>[1]Gas!C122</f>
        <v>360000</v>
      </c>
      <c r="D3" s="4">
        <f>[1]Gas!D122</f>
        <v>360000</v>
      </c>
    </row>
    <row r="4" spans="1:4" x14ac:dyDescent="0.25">
      <c r="A4" t="s">
        <v>8</v>
      </c>
      <c r="B4" t="s">
        <v>9</v>
      </c>
      <c r="C4" s="4">
        <f>[1]Gas!C123</f>
        <v>35000</v>
      </c>
      <c r="D4" s="4">
        <f>[1]Gas!D123</f>
        <v>35000</v>
      </c>
    </row>
    <row r="5" spans="1:4" x14ac:dyDescent="0.25">
      <c r="A5" t="s">
        <v>10</v>
      </c>
      <c r="B5" t="s">
        <v>11</v>
      </c>
      <c r="C5" s="4">
        <f>[1]Tabung!C37</f>
        <v>17500000</v>
      </c>
      <c r="D5" s="4">
        <f>[1]Tabung!D37</f>
        <v>18250000</v>
      </c>
    </row>
    <row r="6" spans="1:4" x14ac:dyDescent="0.25">
      <c r="A6" t="s">
        <v>12</v>
      </c>
      <c r="B6" t="s">
        <v>13</v>
      </c>
      <c r="C6" s="4">
        <f>[1]Tabung!C35</f>
        <v>6500000</v>
      </c>
      <c r="D6" s="4">
        <f>[1]Tabung!D35</f>
        <v>7000000</v>
      </c>
    </row>
    <row r="7" spans="1:4" x14ac:dyDescent="0.25">
      <c r="A7" t="s">
        <v>14</v>
      </c>
      <c r="B7" t="s">
        <v>15</v>
      </c>
      <c r="C7" s="4">
        <f>[1]Tabung!C36</f>
        <v>9700000</v>
      </c>
      <c r="D7" s="4">
        <f>[1]Tabung!D36</f>
        <v>10200000</v>
      </c>
    </row>
    <row r="8" spans="1:4" x14ac:dyDescent="0.25">
      <c r="A8" t="s">
        <v>16</v>
      </c>
      <c r="B8" t="s">
        <v>17</v>
      </c>
      <c r="C8" s="4">
        <f>[1]Kran!C25</f>
        <v>20000</v>
      </c>
      <c r="D8" s="4">
        <f>[1]Kran!D25</f>
        <v>20000</v>
      </c>
    </row>
    <row r="9" spans="1:4" x14ac:dyDescent="0.25">
      <c r="A9" t="s">
        <v>18</v>
      </c>
      <c r="B9" t="s">
        <v>19</v>
      </c>
      <c r="C9" s="4">
        <f>[1]Kran!C26</f>
        <v>30000</v>
      </c>
      <c r="D9" s="4">
        <f>[1]Kran!D26</f>
        <v>30000</v>
      </c>
    </row>
    <row r="10" spans="1:4" x14ac:dyDescent="0.25">
      <c r="A10" t="s">
        <v>20</v>
      </c>
      <c r="B10" t="s">
        <v>21</v>
      </c>
      <c r="C10" s="4">
        <f>[1]Kran!C70</f>
        <v>1500000</v>
      </c>
      <c r="D10" s="4">
        <f>[1]Kran!D70</f>
        <v>1650000</v>
      </c>
    </row>
    <row r="11" spans="1:4" x14ac:dyDescent="0.25">
      <c r="A11" t="s">
        <v>22</v>
      </c>
      <c r="B11" t="s">
        <v>23</v>
      </c>
      <c r="C11" s="4">
        <f>[1]Tabung!C43</f>
        <v>3150000</v>
      </c>
      <c r="D11" s="4">
        <f>[1]Tabung!D43</f>
        <v>3250000</v>
      </c>
    </row>
    <row r="12" spans="1:4" x14ac:dyDescent="0.25">
      <c r="A12" t="s">
        <v>24</v>
      </c>
      <c r="B12" t="s">
        <v>25</v>
      </c>
      <c r="C12" s="4">
        <f>[1]Tabung!C44</f>
        <v>5750000</v>
      </c>
      <c r="D12" s="4">
        <f>[1]Tabung!D44</f>
        <v>5900000</v>
      </c>
    </row>
    <row r="13" spans="1:4" x14ac:dyDescent="0.25">
      <c r="A13" t="s">
        <v>26</v>
      </c>
      <c r="B13" t="s">
        <v>27</v>
      </c>
      <c r="C13" s="4">
        <f>[1]Tabung!C40</f>
        <v>2900000</v>
      </c>
      <c r="D13" s="4">
        <f>[1]Tabung!D40</f>
        <v>3000000</v>
      </c>
    </row>
    <row r="14" spans="1:4" x14ac:dyDescent="0.25">
      <c r="A14" t="s">
        <v>28</v>
      </c>
      <c r="B14" t="s">
        <v>29</v>
      </c>
      <c r="C14" s="4">
        <f>[1]Tabung!C45</f>
        <v>6850000</v>
      </c>
      <c r="D14" s="4">
        <f>[1]Tabung!D45</f>
        <v>7000000</v>
      </c>
    </row>
    <row r="15" spans="1:4" x14ac:dyDescent="0.25">
      <c r="A15" t="s">
        <v>30</v>
      </c>
      <c r="B15" t="s">
        <v>31</v>
      </c>
      <c r="C15" s="4">
        <f>[1]Tabung!C46</f>
        <v>7750000</v>
      </c>
      <c r="D15" s="4">
        <f>[1]Tabung!D46</f>
        <v>7900000</v>
      </c>
    </row>
    <row r="16" spans="1:4" x14ac:dyDescent="0.25">
      <c r="A16" t="s">
        <v>32</v>
      </c>
      <c r="B16" t="s">
        <v>33</v>
      </c>
      <c r="C16" s="4">
        <f>[1]Tabung!C41</f>
        <v>2900000</v>
      </c>
      <c r="D16" s="4">
        <f>[1]Tabung!D41</f>
        <v>3000000</v>
      </c>
    </row>
    <row r="17" spans="1:4" x14ac:dyDescent="0.25">
      <c r="A17" t="s">
        <v>34</v>
      </c>
      <c r="B17" t="s">
        <v>35</v>
      </c>
      <c r="C17" s="4">
        <f>[1]Tabung!C47</f>
        <v>13750000</v>
      </c>
      <c r="D17" s="4">
        <f>[1]Tabung!D47</f>
        <v>13950000</v>
      </c>
    </row>
    <row r="18" spans="1:4" x14ac:dyDescent="0.25">
      <c r="A18" t="s">
        <v>36</v>
      </c>
      <c r="B18" t="s">
        <v>37</v>
      </c>
      <c r="C18" s="4">
        <f>[1]Tabung!C42</f>
        <v>3000000</v>
      </c>
      <c r="D18" s="4">
        <f>[1]Tabung!D42</f>
        <v>3100000</v>
      </c>
    </row>
    <row r="19" spans="1:4" x14ac:dyDescent="0.25">
      <c r="A19" t="s">
        <v>38</v>
      </c>
      <c r="B19" t="s">
        <v>39</v>
      </c>
      <c r="C19" s="4">
        <f>[1]Tabung!C31</f>
        <v>20500000</v>
      </c>
      <c r="D19" s="4">
        <f>[1]Tabung!D31</f>
        <v>21000000</v>
      </c>
    </row>
    <row r="20" spans="1:4" x14ac:dyDescent="0.25">
      <c r="A20" t="s">
        <v>40</v>
      </c>
      <c r="B20" t="s">
        <v>41</v>
      </c>
      <c r="C20" s="4">
        <f>[1]Tabung!C29</f>
        <v>18000000</v>
      </c>
      <c r="D20" s="4">
        <f>[1]Tabung!D29</f>
        <v>18500000</v>
      </c>
    </row>
    <row r="21" spans="1:4" x14ac:dyDescent="0.25">
      <c r="A21" t="s">
        <v>42</v>
      </c>
      <c r="B21" t="s">
        <v>43</v>
      </c>
      <c r="C21" s="4">
        <f>[1]Tabung!C30</f>
        <v>24000000</v>
      </c>
      <c r="D21" s="4">
        <f>[1]Tabung!D30</f>
        <v>24500000</v>
      </c>
    </row>
    <row r="22" spans="1:4" x14ac:dyDescent="0.25">
      <c r="A22" t="s">
        <v>44</v>
      </c>
      <c r="B22" t="s">
        <v>45</v>
      </c>
      <c r="C22" s="4">
        <f>[1]Tabung!C32</f>
        <v>32000000</v>
      </c>
      <c r="D22" s="4">
        <f>[1]Tabung!D32</f>
        <v>32500000</v>
      </c>
    </row>
    <row r="23" spans="1:4" x14ac:dyDescent="0.25">
      <c r="A23" t="s">
        <v>46</v>
      </c>
      <c r="B23" t="s">
        <v>47</v>
      </c>
      <c r="C23" s="4">
        <f>[1]Tabung!C33</f>
        <v>55000000</v>
      </c>
      <c r="D23" s="4">
        <f>[1]Tabung!D33</f>
        <v>56000000</v>
      </c>
    </row>
    <row r="24" spans="1:4" x14ac:dyDescent="0.25">
      <c r="A24" t="s">
        <v>48</v>
      </c>
      <c r="B24" t="s">
        <v>49</v>
      </c>
      <c r="C24" s="4">
        <f>[1]Tabung!C28</f>
        <v>19000000</v>
      </c>
      <c r="D24" s="4">
        <f>[1]Tabung!D28</f>
        <v>19500000</v>
      </c>
    </row>
    <row r="25" spans="1:4" x14ac:dyDescent="0.25">
      <c r="A25" t="s">
        <v>50</v>
      </c>
      <c r="B25" t="s">
        <v>51</v>
      </c>
      <c r="C25" s="4">
        <f>[1]Tabung!C34</f>
        <v>55000000</v>
      </c>
      <c r="D25" s="4">
        <f>[1]Tabung!D34</f>
        <v>56000000</v>
      </c>
    </row>
    <row r="26" spans="1:4" x14ac:dyDescent="0.25">
      <c r="A26" t="s">
        <v>52</v>
      </c>
      <c r="B26" t="s">
        <v>53</v>
      </c>
      <c r="C26" s="4">
        <f>[1]Kran!C71</f>
        <v>2500000</v>
      </c>
      <c r="D26" s="4">
        <f>[1]Kran!D71</f>
        <v>2500000</v>
      </c>
    </row>
    <row r="27" spans="1:4" x14ac:dyDescent="0.25">
      <c r="A27" t="s">
        <v>54</v>
      </c>
      <c r="B27" t="s">
        <v>55</v>
      </c>
      <c r="C27" s="4">
        <f>[1]Kran!C72</f>
        <v>715000</v>
      </c>
      <c r="D27" s="4">
        <f>[1]Kran!D72</f>
        <v>715000</v>
      </c>
    </row>
    <row r="28" spans="1:4" x14ac:dyDescent="0.25">
      <c r="A28" t="s">
        <v>56</v>
      </c>
      <c r="B28" t="s">
        <v>57</v>
      </c>
      <c r="C28" s="4">
        <f>[1]Kran!C73</f>
        <v>225000</v>
      </c>
      <c r="D28" s="4">
        <f>[1]Kran!D73</f>
        <v>225000</v>
      </c>
    </row>
    <row r="29" spans="1:4" x14ac:dyDescent="0.25">
      <c r="A29" t="s">
        <v>58</v>
      </c>
      <c r="B29" t="s">
        <v>59</v>
      </c>
      <c r="C29" s="4">
        <f>[1]Kran!C74</f>
        <v>0</v>
      </c>
      <c r="D29" s="4">
        <f>[1]Kran!D74</f>
        <v>0</v>
      </c>
    </row>
    <row r="30" spans="1:4" x14ac:dyDescent="0.25">
      <c r="A30" t="s">
        <v>60</v>
      </c>
      <c r="B30" t="s">
        <v>61</v>
      </c>
      <c r="C30" s="4">
        <f>[1]Kran!C75</f>
        <v>0</v>
      </c>
      <c r="D30" s="4">
        <f>[1]Kran!D75</f>
        <v>0</v>
      </c>
    </row>
    <row r="31" spans="1:4" x14ac:dyDescent="0.25">
      <c r="A31" t="s">
        <v>62</v>
      </c>
      <c r="B31" t="s">
        <v>63</v>
      </c>
      <c r="C31" s="4">
        <f>[1]Kran!C76</f>
        <v>0</v>
      </c>
      <c r="D31" s="4">
        <f>[1]Kran!D76</f>
        <v>0</v>
      </c>
    </row>
    <row r="32" spans="1:4" x14ac:dyDescent="0.25">
      <c r="A32" t="s">
        <v>64</v>
      </c>
      <c r="B32" t="s">
        <v>65</v>
      </c>
      <c r="C32" s="4">
        <f>[1]Kran!C77</f>
        <v>220000</v>
      </c>
      <c r="D32" s="4">
        <f>[1]Kran!D77</f>
        <v>220000</v>
      </c>
    </row>
    <row r="33" spans="1:4" x14ac:dyDescent="0.25">
      <c r="A33" t="s">
        <v>66</v>
      </c>
      <c r="B33" t="s">
        <v>67</v>
      </c>
      <c r="C33" s="4">
        <f>[1]Gas!C118</f>
        <v>550000</v>
      </c>
      <c r="D33" s="4">
        <f>[1]Gas!D118</f>
        <v>600000</v>
      </c>
    </row>
    <row r="34" spans="1:4" x14ac:dyDescent="0.25">
      <c r="A34" t="s">
        <v>68</v>
      </c>
      <c r="B34" t="s">
        <v>69</v>
      </c>
      <c r="C34" s="4">
        <f>[1]Gas!C120</f>
        <v>300000</v>
      </c>
      <c r="D34" s="4">
        <f>[1]Gas!D120</f>
        <v>300000</v>
      </c>
    </row>
    <row r="35" spans="1:4" x14ac:dyDescent="0.25">
      <c r="A35" t="s">
        <v>70</v>
      </c>
      <c r="B35" t="s">
        <v>71</v>
      </c>
      <c r="C35" s="4">
        <f>[1]Gas!C119</f>
        <v>1100000</v>
      </c>
      <c r="D35" s="4">
        <f>[1]Gas!D119</f>
        <v>1150000</v>
      </c>
    </row>
    <row r="36" spans="1:4" x14ac:dyDescent="0.25">
      <c r="A36" t="s">
        <v>72</v>
      </c>
      <c r="B36" t="s">
        <v>73</v>
      </c>
      <c r="C36" s="4">
        <f>[1]Gas!C112</f>
        <v>160000</v>
      </c>
      <c r="D36" s="4">
        <f>[1]Gas!D112</f>
        <v>280000</v>
      </c>
    </row>
    <row r="37" spans="1:4" x14ac:dyDescent="0.25">
      <c r="A37" t="s">
        <v>74</v>
      </c>
      <c r="B37" t="s">
        <v>75</v>
      </c>
      <c r="C37" s="4">
        <f>[1]Gas!C113</f>
        <v>600000</v>
      </c>
      <c r="D37" s="4">
        <f>[1]Gas!D113</f>
        <v>600000</v>
      </c>
    </row>
    <row r="38" spans="1:4" x14ac:dyDescent="0.25">
      <c r="A38" t="s">
        <v>76</v>
      </c>
      <c r="B38" t="s">
        <v>77</v>
      </c>
      <c r="C38" s="4">
        <f>[1]Gas!C114</f>
        <v>550000</v>
      </c>
      <c r="D38" s="4">
        <f>[1]Gas!D114</f>
        <v>550000</v>
      </c>
    </row>
    <row r="39" spans="1:4" x14ac:dyDescent="0.25">
      <c r="A39" t="s">
        <v>78</v>
      </c>
      <c r="B39" t="s">
        <v>79</v>
      </c>
      <c r="C39" s="4">
        <f>[1]Gas!C115</f>
        <v>550000</v>
      </c>
      <c r="D39" s="4">
        <f>[1]Gas!D115</f>
        <v>550000</v>
      </c>
    </row>
    <row r="40" spans="1:4" x14ac:dyDescent="0.25">
      <c r="A40" t="s">
        <v>80</v>
      </c>
      <c r="B40" t="s">
        <v>81</v>
      </c>
      <c r="C40" s="4">
        <f>[1]Gas!C116</f>
        <v>700000</v>
      </c>
      <c r="D40" s="4">
        <f>[1]Gas!D116</f>
        <v>700000</v>
      </c>
    </row>
    <row r="41" spans="1:4" x14ac:dyDescent="0.25">
      <c r="A41" t="s">
        <v>82</v>
      </c>
      <c r="B41" t="s">
        <v>83</v>
      </c>
      <c r="C41" s="4">
        <f>[1]Gas!C117</f>
        <v>550000</v>
      </c>
      <c r="D41" s="4">
        <f>[1]Gas!D117</f>
        <v>650000</v>
      </c>
    </row>
    <row r="42" spans="1:4" x14ac:dyDescent="0.25">
      <c r="A42" t="s">
        <v>84</v>
      </c>
      <c r="B42" t="s">
        <v>85</v>
      </c>
      <c r="C42" s="4">
        <f>[1]Gas!C116+[1]Gas!C123</f>
        <v>735000</v>
      </c>
      <c r="D42" s="4">
        <f>[1]Gas!D116+[1]Gas!D123</f>
        <v>735000</v>
      </c>
    </row>
    <row r="43" spans="1:4" x14ac:dyDescent="0.25">
      <c r="A43" t="s">
        <v>86</v>
      </c>
      <c r="B43" t="s">
        <v>87</v>
      </c>
      <c r="C43" s="4">
        <f>[1]Gas!C110</f>
        <v>150000</v>
      </c>
      <c r="D43" s="4">
        <f>[1]Gas!D110</f>
        <v>175000</v>
      </c>
    </row>
    <row r="44" spans="1:4" x14ac:dyDescent="0.25">
      <c r="A44" t="s">
        <v>88</v>
      </c>
      <c r="B44" t="s">
        <v>89</v>
      </c>
      <c r="C44" s="4">
        <f>([1]Gas!C110*3)+([1]Gas!C121*12)</f>
        <v>4350000</v>
      </c>
      <c r="D44" s="4">
        <f>([1]Gas!D110*3)+([1]Gas!D121*12)</f>
        <v>4425000</v>
      </c>
    </row>
    <row r="45" spans="1:4" x14ac:dyDescent="0.25">
      <c r="A45" t="s">
        <v>90</v>
      </c>
      <c r="B45" t="s">
        <v>91</v>
      </c>
      <c r="C45" s="4">
        <f>[1]Gas!C96</f>
        <v>150000</v>
      </c>
      <c r="D45" s="4">
        <f>[1]Gas!D96</f>
        <v>150000</v>
      </c>
    </row>
    <row r="46" spans="1:4" x14ac:dyDescent="0.25">
      <c r="A46" t="s">
        <v>92</v>
      </c>
      <c r="B46" t="s">
        <v>93</v>
      </c>
      <c r="C46" s="4">
        <f>[1]Gas!C99</f>
        <v>150000</v>
      </c>
      <c r="D46" s="4">
        <f>[1]Gas!D99</f>
        <v>150000</v>
      </c>
    </row>
    <row r="47" spans="1:4" x14ac:dyDescent="0.25">
      <c r="A47" t="s">
        <v>94</v>
      </c>
      <c r="B47" t="s">
        <v>95</v>
      </c>
      <c r="C47" s="4">
        <f>[1]Gas!C106</f>
        <v>500000</v>
      </c>
      <c r="D47" s="4">
        <f>[1]Gas!D106</f>
        <v>500000</v>
      </c>
    </row>
    <row r="48" spans="1:4" x14ac:dyDescent="0.25">
      <c r="A48" t="s">
        <v>96</v>
      </c>
      <c r="B48" t="s">
        <v>97</v>
      </c>
      <c r="C48" s="4">
        <f>[1]Gas!C86</f>
        <v>50000</v>
      </c>
      <c r="D48" s="4">
        <f>[1]Gas!D86</f>
        <v>75000</v>
      </c>
    </row>
    <row r="49" spans="1:4" x14ac:dyDescent="0.25">
      <c r="A49" t="s">
        <v>98</v>
      </c>
      <c r="B49" t="s">
        <v>99</v>
      </c>
      <c r="C49" s="4">
        <f>[1]Gas!C87</f>
        <v>50000</v>
      </c>
      <c r="D49" s="4">
        <f>[1]Gas!D87</f>
        <v>75000</v>
      </c>
    </row>
    <row r="50" spans="1:4" x14ac:dyDescent="0.25">
      <c r="A50" t="s">
        <v>100</v>
      </c>
      <c r="B50" t="s">
        <v>101</v>
      </c>
      <c r="C50" s="4">
        <f>[1]Gas!C88</f>
        <v>50000</v>
      </c>
      <c r="D50" s="4">
        <f>[1]Gas!D88</f>
        <v>75000</v>
      </c>
    </row>
    <row r="51" spans="1:4" x14ac:dyDescent="0.25">
      <c r="A51" t="s">
        <v>102</v>
      </c>
      <c r="B51" t="s">
        <v>103</v>
      </c>
      <c r="C51" s="4">
        <f>[1]Gas!C89</f>
        <v>70000</v>
      </c>
      <c r="D51" s="4">
        <f>[1]Gas!D89</f>
        <v>100000</v>
      </c>
    </row>
    <row r="52" spans="1:4" x14ac:dyDescent="0.25">
      <c r="A52" t="s">
        <v>104</v>
      </c>
      <c r="B52" t="s">
        <v>105</v>
      </c>
      <c r="C52" s="4">
        <f>[1]Gas!C90</f>
        <v>90000</v>
      </c>
      <c r="D52" s="4">
        <f>[1]Gas!D90</f>
        <v>125000</v>
      </c>
    </row>
    <row r="53" spans="1:4" x14ac:dyDescent="0.25">
      <c r="A53" t="s">
        <v>106</v>
      </c>
      <c r="B53" t="s">
        <v>107</v>
      </c>
      <c r="C53" s="4">
        <f>[1]Gas!C91</f>
        <v>125000</v>
      </c>
      <c r="D53" s="4">
        <f>[1]Gas!D91</f>
        <v>150000</v>
      </c>
    </row>
    <row r="54" spans="1:4" x14ac:dyDescent="0.25">
      <c r="A54" t="s">
        <v>108</v>
      </c>
      <c r="B54" t="s">
        <v>109</v>
      </c>
      <c r="C54" s="4">
        <f>[1]Gas!C58</f>
        <v>40000</v>
      </c>
      <c r="D54" s="4">
        <f>[1]Gas!D58</f>
        <v>40000</v>
      </c>
    </row>
    <row r="55" spans="1:4" x14ac:dyDescent="0.25">
      <c r="A55" t="s">
        <v>110</v>
      </c>
      <c r="B55" t="s">
        <v>111</v>
      </c>
      <c r="C55" s="4">
        <f>[1]Gas!C59</f>
        <v>40000</v>
      </c>
      <c r="D55" s="4">
        <f>[1]Gas!D59</f>
        <v>40000</v>
      </c>
    </row>
    <row r="56" spans="1:4" x14ac:dyDescent="0.25">
      <c r="A56" t="s">
        <v>112</v>
      </c>
      <c r="B56" t="s">
        <v>113</v>
      </c>
      <c r="C56" s="4">
        <f>[1]Gas!C60</f>
        <v>50000</v>
      </c>
      <c r="D56" s="4">
        <f>[1]Gas!D60</f>
        <v>50000</v>
      </c>
    </row>
    <row r="57" spans="1:4" x14ac:dyDescent="0.25">
      <c r="A57" t="s">
        <v>114</v>
      </c>
      <c r="B57" t="s">
        <v>115</v>
      </c>
      <c r="C57" s="4">
        <f>[1]Gas!C61</f>
        <v>50000</v>
      </c>
      <c r="D57" s="4">
        <f>[1]Gas!D61</f>
        <v>50000</v>
      </c>
    </row>
    <row r="58" spans="1:4" x14ac:dyDescent="0.25">
      <c r="A58" t="s">
        <v>116</v>
      </c>
      <c r="B58" t="s">
        <v>117</v>
      </c>
      <c r="C58" s="4">
        <f>[1]Gas!C62</f>
        <v>50000</v>
      </c>
      <c r="D58" s="4">
        <f>[1]Gas!D62</f>
        <v>60000</v>
      </c>
    </row>
    <row r="59" spans="1:4" x14ac:dyDescent="0.25">
      <c r="A59" t="s">
        <v>118</v>
      </c>
      <c r="B59" t="s">
        <v>119</v>
      </c>
      <c r="C59" s="4">
        <f>[1]Gas!C63</f>
        <v>70000</v>
      </c>
      <c r="D59" s="4">
        <f>[1]Gas!D63</f>
        <v>70000</v>
      </c>
    </row>
    <row r="60" spans="1:4" x14ac:dyDescent="0.25">
      <c r="A60" t="s">
        <v>120</v>
      </c>
      <c r="B60" t="s">
        <v>121</v>
      </c>
      <c r="C60" s="4">
        <f>[1]Gas!C64</f>
        <v>90000</v>
      </c>
      <c r="D60" s="4">
        <f>[1]Gas!D64</f>
        <v>90000</v>
      </c>
    </row>
    <row r="61" spans="1:4" x14ac:dyDescent="0.25">
      <c r="A61" t="s">
        <v>122</v>
      </c>
      <c r="B61" t="s">
        <v>123</v>
      </c>
      <c r="C61" s="4">
        <f>[1]Gas!C65</f>
        <v>135000</v>
      </c>
      <c r="D61" s="4">
        <f>[1]Gas!D65</f>
        <v>100000</v>
      </c>
    </row>
    <row r="62" spans="1:4" x14ac:dyDescent="0.25">
      <c r="A62" t="s">
        <v>124</v>
      </c>
      <c r="B62" t="s">
        <v>125</v>
      </c>
      <c r="C62" s="4">
        <f>[1]Gas!C66</f>
        <v>135000</v>
      </c>
      <c r="D62" s="4">
        <f>[1]Gas!D66</f>
        <v>100000</v>
      </c>
    </row>
    <row r="63" spans="1:4" x14ac:dyDescent="0.25">
      <c r="A63" t="s">
        <v>126</v>
      </c>
      <c r="B63" t="s">
        <v>127</v>
      </c>
      <c r="C63" s="4">
        <f>[1]Gas!C67</f>
        <v>180000</v>
      </c>
      <c r="D63" s="4">
        <f>[1]Gas!D67</f>
        <v>120000</v>
      </c>
    </row>
    <row r="64" spans="1:4" x14ac:dyDescent="0.25">
      <c r="A64" t="s">
        <v>128</v>
      </c>
      <c r="B64" t="s">
        <v>129</v>
      </c>
      <c r="C64" s="4">
        <f>[1]Gas!C68</f>
        <v>225000</v>
      </c>
      <c r="D64" s="4">
        <f>[1]Gas!D68</f>
        <v>137500</v>
      </c>
    </row>
    <row r="65" spans="1:4" x14ac:dyDescent="0.25">
      <c r="A65" t="s">
        <v>130</v>
      </c>
      <c r="B65" t="s">
        <v>131</v>
      </c>
      <c r="C65" s="4">
        <f>[1]Gas!C69</f>
        <v>375000</v>
      </c>
      <c r="D65" s="4">
        <f>[1]Gas!D69</f>
        <v>247500</v>
      </c>
    </row>
    <row r="66" spans="1:4" x14ac:dyDescent="0.25">
      <c r="A66" t="s">
        <v>132</v>
      </c>
      <c r="B66" t="s">
        <v>133</v>
      </c>
      <c r="C66" s="4">
        <f>[1]Gas!C47</f>
        <v>30000</v>
      </c>
      <c r="D66" s="4">
        <v>0</v>
      </c>
    </row>
    <row r="67" spans="1:4" x14ac:dyDescent="0.25">
      <c r="A67" t="s">
        <v>134</v>
      </c>
      <c r="B67" t="s">
        <v>135</v>
      </c>
      <c r="C67" s="4">
        <f>[1]Gas!C54</f>
        <v>120000</v>
      </c>
      <c r="D67" s="4">
        <f>[1]Gas!D54</f>
        <v>0</v>
      </c>
    </row>
    <row r="68" spans="1:4" x14ac:dyDescent="0.25">
      <c r="A68" t="s">
        <v>136</v>
      </c>
      <c r="B68" t="s">
        <v>137</v>
      </c>
      <c r="C68" s="4">
        <f>[1]Gas!C53</f>
        <v>90000</v>
      </c>
      <c r="D68" s="4">
        <f>[1]Gas!D53</f>
        <v>0</v>
      </c>
    </row>
    <row r="69" spans="1:4" x14ac:dyDescent="0.25">
      <c r="A69" t="s">
        <v>138</v>
      </c>
      <c r="B69" t="s">
        <v>139</v>
      </c>
      <c r="C69" s="4">
        <f>[1]Gas!C55</f>
        <v>150000</v>
      </c>
      <c r="D69" s="4">
        <f>[1]Gas!D55</f>
        <v>0</v>
      </c>
    </row>
    <row r="70" spans="1:4" x14ac:dyDescent="0.25">
      <c r="A70" t="s">
        <v>140</v>
      </c>
      <c r="B70" t="s">
        <v>141</v>
      </c>
      <c r="C70" s="4">
        <f>[1]Gas!C56</f>
        <v>240000</v>
      </c>
      <c r="D70" s="4">
        <f>[1]Gas!D56</f>
        <v>0</v>
      </c>
    </row>
    <row r="71" spans="1:4" x14ac:dyDescent="0.25">
      <c r="A71" t="s">
        <v>142</v>
      </c>
      <c r="B71" t="s">
        <v>143</v>
      </c>
      <c r="C71" s="4">
        <f>[1]Gas!C57</f>
        <v>270000</v>
      </c>
      <c r="D71" s="4">
        <f>[1]Gas!D57</f>
        <v>0</v>
      </c>
    </row>
    <row r="72" spans="1:4" x14ac:dyDescent="0.25">
      <c r="A72" t="s">
        <v>144</v>
      </c>
      <c r="B72" t="s">
        <v>145</v>
      </c>
      <c r="C72" s="4">
        <f>[1]Gas!C71</f>
        <v>270000</v>
      </c>
      <c r="D72" s="4">
        <f>[1]Gas!D71</f>
        <v>165000</v>
      </c>
    </row>
    <row r="73" spans="1:4" x14ac:dyDescent="0.25">
      <c r="A73" t="s">
        <v>146</v>
      </c>
      <c r="B73" t="s">
        <v>147</v>
      </c>
      <c r="C73" s="4">
        <f>[1]Gas!C72</f>
        <v>100000</v>
      </c>
      <c r="D73" s="4">
        <f>[1]Gas!D72</f>
        <v>100000</v>
      </c>
    </row>
    <row r="74" spans="1:4" x14ac:dyDescent="0.25">
      <c r="A74" t="s">
        <v>148</v>
      </c>
      <c r="B74" t="s">
        <v>149</v>
      </c>
      <c r="C74" s="4">
        <f>[1]Gas!C73</f>
        <v>360000</v>
      </c>
      <c r="D74" s="4">
        <f>[1]Gas!D73</f>
        <v>360000</v>
      </c>
    </row>
    <row r="75" spans="1:4" x14ac:dyDescent="0.25">
      <c r="A75" t="s">
        <v>150</v>
      </c>
      <c r="B75" t="s">
        <v>151</v>
      </c>
      <c r="C75" s="4">
        <f>[1]Gas!C38</f>
        <v>1500000</v>
      </c>
      <c r="D75" s="4">
        <f>[1]Gas!D38</f>
        <v>1500000</v>
      </c>
    </row>
    <row r="76" spans="1:4" x14ac:dyDescent="0.25">
      <c r="A76" t="s">
        <v>152</v>
      </c>
      <c r="B76" t="s">
        <v>153</v>
      </c>
      <c r="C76" s="4">
        <f>[1]Gas!C39</f>
        <v>1500000</v>
      </c>
      <c r="D76" s="4">
        <f>[1]Gas!D39</f>
        <v>1500000</v>
      </c>
    </row>
    <row r="77" spans="1:4" x14ac:dyDescent="0.25">
      <c r="A77" t="s">
        <v>154</v>
      </c>
      <c r="B77" t="s">
        <v>155</v>
      </c>
      <c r="C77" s="4">
        <f>[1]Gas!C40</f>
        <v>1500000</v>
      </c>
      <c r="D77" s="4">
        <f>[1]Gas!D40</f>
        <v>1500000</v>
      </c>
    </row>
    <row r="78" spans="1:4" x14ac:dyDescent="0.25">
      <c r="A78" t="s">
        <v>156</v>
      </c>
      <c r="B78" t="s">
        <v>157</v>
      </c>
      <c r="C78" s="4">
        <f>[1]Gas!C41</f>
        <v>1500000</v>
      </c>
      <c r="D78" s="4">
        <f>[1]Gas!D41</f>
        <v>1500000</v>
      </c>
    </row>
    <row r="79" spans="1:4" x14ac:dyDescent="0.25">
      <c r="A79" t="s">
        <v>158</v>
      </c>
      <c r="B79" t="s">
        <v>159</v>
      </c>
      <c r="C79" s="4">
        <f>[1]Gas!C42</f>
        <v>2250000</v>
      </c>
      <c r="D79" s="4">
        <f>[1]Gas!D42</f>
        <v>2250000</v>
      </c>
    </row>
    <row r="80" spans="1:4" x14ac:dyDescent="0.25">
      <c r="A80" t="s">
        <v>160</v>
      </c>
      <c r="B80" t="s">
        <v>161</v>
      </c>
      <c r="C80" s="4">
        <f>[1]Gas!C43</f>
        <v>3000000</v>
      </c>
      <c r="D80" s="4">
        <f>[1]Gas!D43</f>
        <v>3000000</v>
      </c>
    </row>
    <row r="81" spans="1:4" x14ac:dyDescent="0.25">
      <c r="A81" t="s">
        <v>162</v>
      </c>
      <c r="B81" t="s">
        <v>163</v>
      </c>
      <c r="C81" s="4">
        <f>[1]Gas!C44</f>
        <v>6000000</v>
      </c>
      <c r="D81" s="4">
        <f>[1]Gas!D44</f>
        <v>5250000</v>
      </c>
    </row>
    <row r="82" spans="1:4" x14ac:dyDescent="0.25">
      <c r="A82" t="s">
        <v>164</v>
      </c>
      <c r="B82" t="s">
        <v>165</v>
      </c>
      <c r="C82" s="4">
        <f>[1]Gas!C45</f>
        <v>7000000</v>
      </c>
      <c r="D82" s="4">
        <f>[1]Gas!D45</f>
        <v>5975000</v>
      </c>
    </row>
    <row r="83" spans="1:4" x14ac:dyDescent="0.25">
      <c r="A83" t="s">
        <v>166</v>
      </c>
      <c r="B83" t="s">
        <v>167</v>
      </c>
      <c r="C83" s="4">
        <f>[1]Gas!C46</f>
        <v>10000000</v>
      </c>
      <c r="D83" s="4">
        <f>[1]Gas!D46</f>
        <v>3500000</v>
      </c>
    </row>
    <row r="84" spans="1:4" x14ac:dyDescent="0.25">
      <c r="A84" t="s">
        <v>168</v>
      </c>
      <c r="B84" t="s">
        <v>169</v>
      </c>
      <c r="C84" s="4">
        <f>[1]Gas!C130</f>
        <v>200000</v>
      </c>
      <c r="D84" s="4">
        <f>[1]Gas!D130</f>
        <v>225000</v>
      </c>
    </row>
    <row r="85" spans="1:4" x14ac:dyDescent="0.25">
      <c r="A85" t="s">
        <v>170</v>
      </c>
      <c r="B85" t="s">
        <v>171</v>
      </c>
      <c r="C85" s="4">
        <f>[1]Gas!C131</f>
        <v>0</v>
      </c>
      <c r="D85" s="4">
        <f>[1]Gas!D131</f>
        <v>0</v>
      </c>
    </row>
    <row r="86" spans="1:4" x14ac:dyDescent="0.25">
      <c r="A86" t="s">
        <v>172</v>
      </c>
      <c r="B86" t="s">
        <v>173</v>
      </c>
      <c r="C86" s="4">
        <f>[1]Gas!C132</f>
        <v>0</v>
      </c>
      <c r="D86" s="4">
        <f>[1]Gas!D132</f>
        <v>0</v>
      </c>
    </row>
    <row r="87" spans="1:4" x14ac:dyDescent="0.25">
      <c r="A87" t="s">
        <v>174</v>
      </c>
      <c r="B87" t="s">
        <v>175</v>
      </c>
      <c r="C87" s="4">
        <f>[1]Gas!C133</f>
        <v>0</v>
      </c>
      <c r="D87" s="4">
        <f>[1]Gas!D133</f>
        <v>0</v>
      </c>
    </row>
    <row r="88" spans="1:4" x14ac:dyDescent="0.25">
      <c r="A88" t="s">
        <v>176</v>
      </c>
      <c r="B88" t="s">
        <v>177</v>
      </c>
      <c r="C88" s="4">
        <f>[1]Gas!C134</f>
        <v>0</v>
      </c>
      <c r="D88" s="4">
        <f>[1]Gas!D134</f>
        <v>0</v>
      </c>
    </row>
    <row r="89" spans="1:4" x14ac:dyDescent="0.25">
      <c r="A89" t="s">
        <v>178</v>
      </c>
      <c r="B89" t="s">
        <v>179</v>
      </c>
      <c r="C89" s="4">
        <f>[1]Gas!C135</f>
        <v>0</v>
      </c>
      <c r="D89" s="4">
        <f>[1]Gas!D135</f>
        <v>0</v>
      </c>
    </row>
    <row r="90" spans="1:4" x14ac:dyDescent="0.25">
      <c r="A90" t="s">
        <v>180</v>
      </c>
      <c r="B90" t="s">
        <v>181</v>
      </c>
      <c r="C90" s="4">
        <f>[1]Gas!C136</f>
        <v>475000</v>
      </c>
      <c r="D90" s="4">
        <f>[1]Gas!D136</f>
        <v>360000</v>
      </c>
    </row>
    <row r="91" spans="1:4" x14ac:dyDescent="0.25">
      <c r="A91" t="s">
        <v>182</v>
      </c>
      <c r="B91" t="s">
        <v>183</v>
      </c>
      <c r="C91" s="4">
        <f>[1]Gas!C137</f>
        <v>375000</v>
      </c>
      <c r="D91" s="4">
        <f>[1]Gas!D137</f>
        <v>375000</v>
      </c>
    </row>
    <row r="92" spans="1:4" x14ac:dyDescent="0.25">
      <c r="A92" t="s">
        <v>184</v>
      </c>
      <c r="B92" t="s">
        <v>185</v>
      </c>
      <c r="C92" s="4">
        <f>[1]Gas!C138</f>
        <v>500000</v>
      </c>
      <c r="D92" s="4">
        <f>[1]Gas!D138</f>
        <v>500000</v>
      </c>
    </row>
    <row r="93" spans="1:4" x14ac:dyDescent="0.25">
      <c r="A93" t="s">
        <v>186</v>
      </c>
      <c r="B93" t="s">
        <v>187</v>
      </c>
      <c r="C93" s="4">
        <f>[1]Gas!C139</f>
        <v>500000</v>
      </c>
      <c r="D93" s="4">
        <f>[1]Gas!D139</f>
        <v>500000</v>
      </c>
    </row>
    <row r="94" spans="1:4" x14ac:dyDescent="0.25">
      <c r="A94" t="s">
        <v>188</v>
      </c>
      <c r="B94" t="s">
        <v>189</v>
      </c>
      <c r="C94" s="4">
        <f>[1]Gas!C140</f>
        <v>500000</v>
      </c>
      <c r="D94" s="4">
        <f>[1]Gas!D140</f>
        <v>500000</v>
      </c>
    </row>
    <row r="95" spans="1:4" x14ac:dyDescent="0.25">
      <c r="A95" t="s">
        <v>190</v>
      </c>
      <c r="B95" t="s">
        <v>191</v>
      </c>
      <c r="C95" s="4">
        <f>[1]Gas!C141</f>
        <v>500000</v>
      </c>
      <c r="D95" s="4">
        <f>[1]Gas!D141</f>
        <v>500000</v>
      </c>
    </row>
    <row r="96" spans="1:4" x14ac:dyDescent="0.25">
      <c r="A96" t="s">
        <v>192</v>
      </c>
      <c r="B96" t="s">
        <v>193</v>
      </c>
      <c r="C96" s="4">
        <f>[1]Gas!C142</f>
        <v>650000</v>
      </c>
      <c r="D96" s="4">
        <f>[1]Gas!D142</f>
        <v>650000</v>
      </c>
    </row>
    <row r="97" spans="1:11" x14ac:dyDescent="0.25">
      <c r="A97" t="s">
        <v>194</v>
      </c>
      <c r="B97" t="s">
        <v>195</v>
      </c>
      <c r="C97" s="4">
        <f>[1]Gas!C143</f>
        <v>0</v>
      </c>
      <c r="D97" s="4">
        <f>[1]Gas!D143</f>
        <v>0</v>
      </c>
    </row>
    <row r="98" spans="1:11" x14ac:dyDescent="0.25">
      <c r="A98" t="s">
        <v>196</v>
      </c>
      <c r="B98" t="s">
        <v>197</v>
      </c>
      <c r="C98" s="4">
        <f>[1]Gas!C124</f>
        <v>140000</v>
      </c>
      <c r="D98" s="4">
        <f>[1]Gas!D124</f>
        <v>140000</v>
      </c>
    </row>
    <row r="99" spans="1:11" x14ac:dyDescent="0.25">
      <c r="A99" t="s">
        <v>198</v>
      </c>
      <c r="B99" t="s">
        <v>199</v>
      </c>
      <c r="C99" s="4">
        <f>[1]Gas!C124</f>
        <v>140000</v>
      </c>
      <c r="D99" s="4">
        <f>[1]Gas!D124</f>
        <v>140000</v>
      </c>
    </row>
    <row r="100" spans="1:11" x14ac:dyDescent="0.25">
      <c r="A100" t="s">
        <v>200</v>
      </c>
      <c r="B100" t="s">
        <v>201</v>
      </c>
      <c r="C100" s="4">
        <f>[1]Gas!C125</f>
        <v>210000</v>
      </c>
      <c r="D100" s="4">
        <f>[1]Gas!D125</f>
        <v>210000</v>
      </c>
    </row>
    <row r="101" spans="1:11" x14ac:dyDescent="0.25">
      <c r="A101" t="s">
        <v>202</v>
      </c>
      <c r="B101" t="s">
        <v>203</v>
      </c>
      <c r="C101" s="4">
        <f>[1]Gas!C127</f>
        <v>99000</v>
      </c>
      <c r="D101" s="4">
        <f>[1]Gas!D127</f>
        <v>125000</v>
      </c>
    </row>
    <row r="102" spans="1:11" x14ac:dyDescent="0.25">
      <c r="A102" t="s">
        <v>204</v>
      </c>
      <c r="B102" t="s">
        <v>205</v>
      </c>
      <c r="C102" s="4">
        <f>[1]Gas!C128</f>
        <v>125000</v>
      </c>
      <c r="D102" s="4">
        <f>[1]Gas!D128</f>
        <v>150000</v>
      </c>
    </row>
    <row r="103" spans="1:11" x14ac:dyDescent="0.25">
      <c r="A103" t="s">
        <v>206</v>
      </c>
      <c r="B103" t="s">
        <v>207</v>
      </c>
      <c r="C103" s="4">
        <f>[1]Gas!C129</f>
        <v>175000</v>
      </c>
      <c r="D103" s="4">
        <f>[1]Gas!D129</f>
        <v>200000</v>
      </c>
    </row>
    <row r="104" spans="1:11" x14ac:dyDescent="0.25">
      <c r="A104" t="s">
        <v>208</v>
      </c>
      <c r="B104" t="s">
        <v>209</v>
      </c>
      <c r="C104" s="4">
        <f>[1]Gas!C24</f>
        <v>75000</v>
      </c>
      <c r="D104" s="4">
        <f>[1]Gas!D24</f>
        <v>75000</v>
      </c>
    </row>
    <row r="105" spans="1:11" x14ac:dyDescent="0.25">
      <c r="A105" t="s">
        <v>210</v>
      </c>
      <c r="B105" t="s">
        <v>211</v>
      </c>
      <c r="C105" s="4">
        <f>[1]Gas!C24</f>
        <v>75000</v>
      </c>
      <c r="D105" s="4">
        <f>[1]Gas!D24</f>
        <v>75000</v>
      </c>
    </row>
    <row r="106" spans="1:11" x14ac:dyDescent="0.25">
      <c r="A106" t="s">
        <v>212</v>
      </c>
      <c r="B106" t="s">
        <v>213</v>
      </c>
      <c r="C106" s="4">
        <f>[1]Gas!C24</f>
        <v>75000</v>
      </c>
      <c r="D106" s="4">
        <f>[1]Gas!D24</f>
        <v>75000</v>
      </c>
    </row>
    <row r="107" spans="1:11" x14ac:dyDescent="0.25">
      <c r="A107" t="s">
        <v>214</v>
      </c>
      <c r="B107" t="s">
        <v>215</v>
      </c>
      <c r="C107" s="4">
        <f>[1]Gas!C25</f>
        <v>125000</v>
      </c>
      <c r="D107" s="4">
        <f>[1]Gas!D25</f>
        <v>125000</v>
      </c>
    </row>
    <row r="108" spans="1:11" x14ac:dyDescent="0.25">
      <c r="A108" t="s">
        <v>216</v>
      </c>
      <c r="B108" t="s">
        <v>217</v>
      </c>
      <c r="C108" s="4">
        <f>[1]Gas!C25</f>
        <v>125000</v>
      </c>
      <c r="D108" s="4">
        <f>[1]Gas!D25</f>
        <v>125000</v>
      </c>
    </row>
    <row r="109" spans="1:11" x14ac:dyDescent="0.25">
      <c r="A109" t="s">
        <v>218</v>
      </c>
      <c r="B109" t="s">
        <v>219</v>
      </c>
      <c r="C109" s="4">
        <f>[1]Gas!C26</f>
        <v>150000</v>
      </c>
      <c r="D109" s="4">
        <f>[1]Gas!D26</f>
        <v>150000</v>
      </c>
    </row>
    <row r="110" spans="1:11" x14ac:dyDescent="0.25">
      <c r="A110" t="s">
        <v>220</v>
      </c>
      <c r="B110" t="s">
        <v>221</v>
      </c>
      <c r="C110" s="4">
        <f>[1]Gas!C26</f>
        <v>150000</v>
      </c>
      <c r="D110" s="4">
        <f>[1]Gas!D26</f>
        <v>150000</v>
      </c>
    </row>
    <row r="111" spans="1:11" x14ac:dyDescent="0.25">
      <c r="A111" t="s">
        <v>222</v>
      </c>
      <c r="B111" t="s">
        <v>223</v>
      </c>
      <c r="C111" s="4">
        <f>[1]Gas!C26</f>
        <v>150000</v>
      </c>
      <c r="D111" s="4">
        <f>[1]Gas!D26</f>
        <v>150000</v>
      </c>
      <c r="J111" s="4"/>
      <c r="K111" s="4"/>
    </row>
    <row r="112" spans="1:11" x14ac:dyDescent="0.25">
      <c r="A112" t="s">
        <v>224</v>
      </c>
      <c r="B112" t="s">
        <v>225</v>
      </c>
      <c r="C112" s="4">
        <f>[1]Gas!C27</f>
        <v>250000</v>
      </c>
      <c r="D112" s="4">
        <f>[1]Gas!D27</f>
        <v>250000</v>
      </c>
    </row>
    <row r="113" spans="1:4" x14ac:dyDescent="0.25">
      <c r="A113" t="s">
        <v>226</v>
      </c>
      <c r="B113" t="s">
        <v>227</v>
      </c>
      <c r="C113" s="4">
        <f>[1]Gas!C27</f>
        <v>250000</v>
      </c>
      <c r="D113" s="4">
        <f>[1]Gas!D27</f>
        <v>250000</v>
      </c>
    </row>
    <row r="114" spans="1:4" x14ac:dyDescent="0.25">
      <c r="A114" t="s">
        <v>228</v>
      </c>
      <c r="B114" t="s">
        <v>229</v>
      </c>
      <c r="C114" s="4">
        <f>[1]Gas!C30</f>
        <v>990000</v>
      </c>
      <c r="D114" s="4">
        <f>[1]Gas!D30</f>
        <v>1040000</v>
      </c>
    </row>
    <row r="115" spans="1:4" x14ac:dyDescent="0.25">
      <c r="A115" t="s">
        <v>230</v>
      </c>
      <c r="B115" t="s">
        <v>231</v>
      </c>
      <c r="C115" s="4">
        <f>[1]Gas!C20</f>
        <v>25000</v>
      </c>
      <c r="D115" s="4">
        <f>[1]Gas!D20</f>
        <v>25000</v>
      </c>
    </row>
    <row r="116" spans="1:4" x14ac:dyDescent="0.25">
      <c r="A116" t="s">
        <v>232</v>
      </c>
      <c r="B116" t="s">
        <v>233</v>
      </c>
      <c r="C116" s="4">
        <f>[1]Gas!C20</f>
        <v>25000</v>
      </c>
      <c r="D116" s="4">
        <f>[1]Gas!D20</f>
        <v>25000</v>
      </c>
    </row>
    <row r="117" spans="1:4" x14ac:dyDescent="0.25">
      <c r="A117" t="s">
        <v>234</v>
      </c>
      <c r="B117" t="s">
        <v>235</v>
      </c>
      <c r="C117" s="4">
        <f>[1]Gas!C20</f>
        <v>25000</v>
      </c>
      <c r="D117" s="4">
        <f>[1]Gas!D20</f>
        <v>25000</v>
      </c>
    </row>
    <row r="118" spans="1:4" x14ac:dyDescent="0.25">
      <c r="A118" t="s">
        <v>236</v>
      </c>
      <c r="B118" t="s">
        <v>237</v>
      </c>
      <c r="C118" s="4">
        <f>[1]Gas!C20</f>
        <v>25000</v>
      </c>
      <c r="D118" s="4">
        <f>[1]Gas!D20</f>
        <v>25000</v>
      </c>
    </row>
    <row r="119" spans="1:4" x14ac:dyDescent="0.25">
      <c r="A119" t="s">
        <v>238</v>
      </c>
      <c r="B119" t="s">
        <v>239</v>
      </c>
      <c r="C119" s="4">
        <f>[1]Gas!C20</f>
        <v>25000</v>
      </c>
      <c r="D119" s="4">
        <f>[1]Gas!D20</f>
        <v>25000</v>
      </c>
    </row>
    <row r="120" spans="1:4" x14ac:dyDescent="0.25">
      <c r="A120" t="s">
        <v>240</v>
      </c>
      <c r="B120" t="s">
        <v>241</v>
      </c>
      <c r="C120" s="4">
        <f>[1]Gas!C21</f>
        <v>30000</v>
      </c>
      <c r="D120" s="4">
        <f>[1]Gas!D21</f>
        <v>35000</v>
      </c>
    </row>
    <row r="121" spans="1:4" x14ac:dyDescent="0.25">
      <c r="A121" t="s">
        <v>242</v>
      </c>
      <c r="B121" t="s">
        <v>243</v>
      </c>
      <c r="C121" s="4">
        <f>[1]Gas!C22</f>
        <v>35000</v>
      </c>
      <c r="D121" s="4">
        <f>[1]Gas!D22</f>
        <v>35000</v>
      </c>
    </row>
    <row r="122" spans="1:4" x14ac:dyDescent="0.25">
      <c r="A122" t="s">
        <v>214</v>
      </c>
      <c r="B122" t="s">
        <v>244</v>
      </c>
      <c r="C122" s="4">
        <f>[1]Gas!C23</f>
        <v>550000</v>
      </c>
      <c r="D122" s="4">
        <f>[1]Gas!D23</f>
        <v>600000</v>
      </c>
    </row>
    <row r="123" spans="1:4" x14ac:dyDescent="0.25">
      <c r="A123" t="s">
        <v>245</v>
      </c>
      <c r="B123" t="s">
        <v>246</v>
      </c>
      <c r="C123" s="4">
        <f>[1]Gas!C28</f>
        <v>550000</v>
      </c>
      <c r="D123" s="4">
        <f>[1]Gas!D28</f>
        <v>600000</v>
      </c>
    </row>
    <row r="124" spans="1:4" x14ac:dyDescent="0.25">
      <c r="A124" t="s">
        <v>247</v>
      </c>
      <c r="B124" t="s">
        <v>248</v>
      </c>
      <c r="C124" s="4">
        <f>[1]Gas!C31</f>
        <v>50000</v>
      </c>
      <c r="D124" s="4">
        <f>[1]Gas!D31</f>
        <v>60000</v>
      </c>
    </row>
    <row r="125" spans="1:4" x14ac:dyDescent="0.25">
      <c r="A125" s="5" t="s">
        <v>249</v>
      </c>
      <c r="B125" s="5" t="s">
        <v>250</v>
      </c>
      <c r="C125" s="4">
        <f>[1]Gas!C74</f>
        <v>405000</v>
      </c>
      <c r="D125" s="4">
        <f>[1]Gas!D74</f>
        <v>405000</v>
      </c>
    </row>
    <row r="126" spans="1:4" x14ac:dyDescent="0.25">
      <c r="A126" s="5" t="s">
        <v>251</v>
      </c>
      <c r="B126" s="5" t="s">
        <v>252</v>
      </c>
      <c r="C126" s="4">
        <f>[1]Gas!C75</f>
        <v>0</v>
      </c>
      <c r="D126" s="4">
        <f>[1]Gas!D75</f>
        <v>0</v>
      </c>
    </row>
    <row r="127" spans="1:4" x14ac:dyDescent="0.25">
      <c r="A127" s="5" t="s">
        <v>253</v>
      </c>
      <c r="B127" s="5" t="s">
        <v>254</v>
      </c>
      <c r="C127" s="4">
        <f>[1]Gas!C76</f>
        <v>540000</v>
      </c>
      <c r="D127" s="4">
        <f>[1]Gas!D76</f>
        <v>540000</v>
      </c>
    </row>
    <row r="128" spans="1:4" x14ac:dyDescent="0.25">
      <c r="A128" s="5" t="s">
        <v>255</v>
      </c>
      <c r="B128" s="5" t="s">
        <v>256</v>
      </c>
      <c r="C128" s="4">
        <f>[1]Gas!C77</f>
        <v>540000</v>
      </c>
      <c r="D128" s="4">
        <f>[1]Gas!D77</f>
        <v>540000</v>
      </c>
    </row>
    <row r="129" spans="1:4" x14ac:dyDescent="0.25">
      <c r="A129" s="5" t="s">
        <v>257</v>
      </c>
      <c r="B129" s="5" t="s">
        <v>258</v>
      </c>
      <c r="C129" s="4">
        <f>[1]Gas!C78</f>
        <v>540000</v>
      </c>
      <c r="D129" s="4">
        <f>[1]Gas!D78</f>
        <v>540000</v>
      </c>
    </row>
    <row r="130" spans="1:4" x14ac:dyDescent="0.25">
      <c r="A130" s="5" t="s">
        <v>259</v>
      </c>
      <c r="B130" s="5" t="s">
        <v>260</v>
      </c>
      <c r="C130" s="4">
        <f>[1]Gas!C79</f>
        <v>810000</v>
      </c>
      <c r="D130" s="4">
        <f>[1]Gas!D79</f>
        <v>810000</v>
      </c>
    </row>
    <row r="131" spans="1:4" x14ac:dyDescent="0.25">
      <c r="A131" s="5" t="s">
        <v>261</v>
      </c>
      <c r="B131" s="5" t="s">
        <v>262</v>
      </c>
      <c r="C131" s="4">
        <f>[1]Gas!C80</f>
        <v>1080000</v>
      </c>
      <c r="D131" s="4">
        <f>[1]Gas!D80</f>
        <v>1080000</v>
      </c>
    </row>
    <row r="132" spans="1:4" x14ac:dyDescent="0.25">
      <c r="A132" s="5" t="s">
        <v>263</v>
      </c>
      <c r="B132" s="5" t="s">
        <v>264</v>
      </c>
      <c r="C132" s="4">
        <f>[1]Gas!C81</f>
        <v>1620000</v>
      </c>
      <c r="D132" s="4">
        <f>[1]Gas!D81</f>
        <v>1620000</v>
      </c>
    </row>
    <row r="133" spans="1:4" x14ac:dyDescent="0.25">
      <c r="A133" s="5" t="s">
        <v>265</v>
      </c>
      <c r="B133" s="5" t="s">
        <v>266</v>
      </c>
      <c r="C133" s="4">
        <f>[1]Gas!C82</f>
        <v>1800000</v>
      </c>
      <c r="D133" s="4">
        <f>[1]Gas!D82</f>
        <v>1800000</v>
      </c>
    </row>
    <row r="134" spans="1:4" x14ac:dyDescent="0.25">
      <c r="A134" t="s">
        <v>267</v>
      </c>
      <c r="B134" s="6" t="s">
        <v>268</v>
      </c>
      <c r="C134" s="4">
        <f>[1]Gas!C5</f>
        <v>15000</v>
      </c>
      <c r="D134" s="4">
        <f>[1]Gas!D5</f>
        <v>15000</v>
      </c>
    </row>
    <row r="135" spans="1:4" x14ac:dyDescent="0.25">
      <c r="A135" t="s">
        <v>269</v>
      </c>
      <c r="B135" s="6" t="s">
        <v>270</v>
      </c>
      <c r="C135" s="4">
        <f>[1]Gas!C6</f>
        <v>15000</v>
      </c>
      <c r="D135" s="4">
        <f>[1]Gas!D6</f>
        <v>15000</v>
      </c>
    </row>
    <row r="136" spans="1:4" x14ac:dyDescent="0.25">
      <c r="A136" t="s">
        <v>271</v>
      </c>
      <c r="B136" s="7" t="s">
        <v>272</v>
      </c>
      <c r="C136" s="4">
        <f>[1]Gas!C7</f>
        <v>15000</v>
      </c>
      <c r="D136" s="4">
        <f>[1]Gas!D7</f>
        <v>15000</v>
      </c>
    </row>
    <row r="137" spans="1:4" x14ac:dyDescent="0.25">
      <c r="A137" t="s">
        <v>273</v>
      </c>
      <c r="B137" s="7" t="s">
        <v>274</v>
      </c>
      <c r="C137" s="4">
        <f>[1]Gas!C8</f>
        <v>15000</v>
      </c>
      <c r="D137" s="4">
        <f>[1]Gas!D8</f>
        <v>15000</v>
      </c>
    </row>
    <row r="138" spans="1:4" x14ac:dyDescent="0.25">
      <c r="A138" t="s">
        <v>275</v>
      </c>
      <c r="B138" s="7" t="s">
        <v>276</v>
      </c>
      <c r="C138" s="4">
        <f>[1]Gas!C9</f>
        <v>15000</v>
      </c>
      <c r="D138" s="4">
        <f>[1]Gas!D9</f>
        <v>15000</v>
      </c>
    </row>
    <row r="139" spans="1:4" x14ac:dyDescent="0.25">
      <c r="A139" t="s">
        <v>277</v>
      </c>
      <c r="B139" s="7" t="s">
        <v>278</v>
      </c>
      <c r="C139" s="4">
        <f>[1]Gas!C10</f>
        <v>15000</v>
      </c>
      <c r="D139" s="4">
        <f>[1]Gas!D10</f>
        <v>15000</v>
      </c>
    </row>
    <row r="140" spans="1:4" x14ac:dyDescent="0.25">
      <c r="A140" t="s">
        <v>279</v>
      </c>
      <c r="B140" s="6" t="s">
        <v>280</v>
      </c>
      <c r="C140" s="4">
        <f>[1]Gas!C11</f>
        <v>20000</v>
      </c>
      <c r="D140" s="4">
        <f>[1]Gas!D11</f>
        <v>20000</v>
      </c>
    </row>
    <row r="141" spans="1:4" x14ac:dyDescent="0.25">
      <c r="A141" t="s">
        <v>281</v>
      </c>
      <c r="B141" s="6" t="s">
        <v>282</v>
      </c>
      <c r="C141" s="4">
        <f>[1]Gas!C12</f>
        <v>20000</v>
      </c>
      <c r="D141" s="4">
        <f>[1]Gas!D12</f>
        <v>20000</v>
      </c>
    </row>
    <row r="142" spans="1:4" x14ac:dyDescent="0.25">
      <c r="A142" t="s">
        <v>283</v>
      </c>
      <c r="B142" s="6" t="s">
        <v>284</v>
      </c>
      <c r="C142" s="4">
        <f>[1]Gas!C13</f>
        <v>25000</v>
      </c>
      <c r="D142" s="4">
        <f>[1]Gas!D13</f>
        <v>25000</v>
      </c>
    </row>
    <row r="143" spans="1:4" x14ac:dyDescent="0.25">
      <c r="A143" t="s">
        <v>285</v>
      </c>
      <c r="B143" s="6" t="s">
        <v>286</v>
      </c>
      <c r="C143" s="4">
        <f>[1]Gas!C14</f>
        <v>25000</v>
      </c>
      <c r="D143" s="4">
        <f>[1]Gas!D14</f>
        <v>30000</v>
      </c>
    </row>
    <row r="144" spans="1:4" x14ac:dyDescent="0.25">
      <c r="A144" t="s">
        <v>287</v>
      </c>
      <c r="B144" s="6" t="s">
        <v>288</v>
      </c>
      <c r="C144" s="4">
        <f>[1]Gas!C15</f>
        <v>30000</v>
      </c>
      <c r="D144" s="4">
        <f>[1]Gas!D15</f>
        <v>30000</v>
      </c>
    </row>
    <row r="145" spans="1:5" x14ac:dyDescent="0.25">
      <c r="A145" t="s">
        <v>289</v>
      </c>
      <c r="B145" s="6" t="s">
        <v>290</v>
      </c>
      <c r="C145" s="4">
        <f>[1]Gas!C16</f>
        <v>125000</v>
      </c>
      <c r="D145" s="4">
        <f>[1]Gas!D16</f>
        <v>125000</v>
      </c>
    </row>
    <row r="146" spans="1:5" x14ac:dyDescent="0.25">
      <c r="A146" t="s">
        <v>291</v>
      </c>
      <c r="B146" s="6" t="s">
        <v>292</v>
      </c>
      <c r="C146" s="4">
        <f>[1]Gas!C17</f>
        <v>1100000</v>
      </c>
      <c r="D146" s="4">
        <f>[1]Gas!D17</f>
        <v>1100000</v>
      </c>
    </row>
    <row r="147" spans="1:5" x14ac:dyDescent="0.25">
      <c r="A147" t="s">
        <v>293</v>
      </c>
      <c r="B147" s="6" t="s">
        <v>294</v>
      </c>
      <c r="C147" s="4">
        <f>[1]Gas!C18</f>
        <v>45000</v>
      </c>
      <c r="D147" s="4">
        <f>[1]Gas!D18</f>
        <v>45000</v>
      </c>
    </row>
    <row r="148" spans="1:5" x14ac:dyDescent="0.25">
      <c r="A148" t="s">
        <v>295</v>
      </c>
      <c r="B148" s="6" t="s">
        <v>296</v>
      </c>
      <c r="C148" s="4">
        <f>[1]Gas!C19</f>
        <v>550000</v>
      </c>
      <c r="D148" s="4">
        <f>[1]Gas!D19</f>
        <v>600000</v>
      </c>
    </row>
    <row r="149" spans="1:5" x14ac:dyDescent="0.25">
      <c r="A149" t="s">
        <v>291</v>
      </c>
      <c r="B149" t="s">
        <v>297</v>
      </c>
      <c r="C149" s="4">
        <f>[1]Gas!C17</f>
        <v>1100000</v>
      </c>
      <c r="D149" s="4">
        <f>[1]Gas!D17</f>
        <v>1100000</v>
      </c>
    </row>
    <row r="150" spans="1:5" x14ac:dyDescent="0.25">
      <c r="A150" t="s">
        <v>298</v>
      </c>
      <c r="B150" t="s">
        <v>299</v>
      </c>
      <c r="C150" s="4">
        <f>[1]Gas!C32</f>
        <v>25000</v>
      </c>
      <c r="D150" s="4">
        <f>[1]Gas!D32</f>
        <v>50000</v>
      </c>
      <c r="E150" s="4"/>
    </row>
    <row r="151" spans="1:5" x14ac:dyDescent="0.25">
      <c r="A151" t="s">
        <v>300</v>
      </c>
      <c r="B151" t="s">
        <v>301</v>
      </c>
      <c r="C151" s="4">
        <f>[1]Gas!C33</f>
        <v>40000</v>
      </c>
      <c r="D151" s="4">
        <f>[1]Gas!D33</f>
        <v>70000</v>
      </c>
      <c r="E151" s="4"/>
    </row>
    <row r="152" spans="1:5" x14ac:dyDescent="0.25">
      <c r="A152" t="s">
        <v>302</v>
      </c>
      <c r="B152" t="s">
        <v>303</v>
      </c>
      <c r="C152" s="4">
        <f>[1]Gas!C34</f>
        <v>45000</v>
      </c>
      <c r="D152" s="4">
        <f>[1]Gas!D34</f>
        <v>120000</v>
      </c>
      <c r="E152" s="4"/>
    </row>
    <row r="153" spans="1:5" x14ac:dyDescent="0.25">
      <c r="A153" t="s">
        <v>304</v>
      </c>
      <c r="B153" t="s">
        <v>305</v>
      </c>
      <c r="C153" s="4">
        <f>[1]Gas!C34</f>
        <v>45000</v>
      </c>
      <c r="D153" s="4">
        <f>[1]Gas!D34</f>
        <v>120000</v>
      </c>
      <c r="E153" s="4"/>
    </row>
    <row r="154" spans="1:5" x14ac:dyDescent="0.25">
      <c r="A154" t="s">
        <v>306</v>
      </c>
      <c r="B154" t="s">
        <v>307</v>
      </c>
      <c r="C154" s="4">
        <f>[1]Gas!C35</f>
        <v>550000</v>
      </c>
      <c r="D154" s="4">
        <f>[1]Gas!D35</f>
        <v>550000</v>
      </c>
      <c r="E154" s="4"/>
    </row>
    <row r="155" spans="1:5" x14ac:dyDescent="0.25">
      <c r="A155" t="s">
        <v>308</v>
      </c>
      <c r="B155" t="s">
        <v>309</v>
      </c>
      <c r="C155" s="4">
        <f>[1]Gas!C36</f>
        <v>1600000</v>
      </c>
      <c r="D155" s="4">
        <f>[1]Gas!D36</f>
        <v>1600000</v>
      </c>
      <c r="E155" s="4"/>
    </row>
    <row r="156" spans="1:5" x14ac:dyDescent="0.25">
      <c r="A156" t="s">
        <v>310</v>
      </c>
      <c r="B156" t="s">
        <v>311</v>
      </c>
      <c r="C156" s="4">
        <f>[1]Gas!C37</f>
        <v>200000</v>
      </c>
      <c r="D156" s="4">
        <f>[1]Gas!D37</f>
        <v>200000</v>
      </c>
      <c r="E156" s="4"/>
    </row>
    <row r="157" spans="1:5" x14ac:dyDescent="0.25">
      <c r="A157" t="s">
        <v>312</v>
      </c>
      <c r="B157" t="s">
        <v>313</v>
      </c>
      <c r="C157" s="4">
        <f>[1]Kran!C35</f>
        <v>8000</v>
      </c>
      <c r="D157" s="4">
        <f>[1]Kran!D35</f>
        <v>8000</v>
      </c>
    </row>
    <row r="158" spans="1:5" x14ac:dyDescent="0.25">
      <c r="A158" t="s">
        <v>314</v>
      </c>
      <c r="B158" t="s">
        <v>315</v>
      </c>
      <c r="C158" s="4">
        <f>[1]Kran!C36</f>
        <v>15000</v>
      </c>
      <c r="D158" s="4">
        <f>[1]Kran!D36</f>
        <v>15000</v>
      </c>
    </row>
    <row r="159" spans="1:5" x14ac:dyDescent="0.25">
      <c r="A159" t="s">
        <v>316</v>
      </c>
      <c r="B159" t="s">
        <v>317</v>
      </c>
      <c r="C159" s="4">
        <f>[1]Kran!C18</f>
        <v>160000</v>
      </c>
      <c r="D159" s="4">
        <f>[1]Kran!D18</f>
        <v>160000</v>
      </c>
    </row>
    <row r="160" spans="1:5" x14ac:dyDescent="0.25">
      <c r="A160" t="s">
        <v>318</v>
      </c>
      <c r="B160" t="s">
        <v>319</v>
      </c>
      <c r="C160" s="4">
        <f>[1]Kran!C19</f>
        <v>220000</v>
      </c>
      <c r="D160" s="4">
        <f>[1]Kran!D19</f>
        <v>0</v>
      </c>
    </row>
    <row r="161" spans="1:4" x14ac:dyDescent="0.25">
      <c r="A161" t="s">
        <v>320</v>
      </c>
      <c r="B161" t="s">
        <v>321</v>
      </c>
      <c r="C161" s="4">
        <f>[1]Kran!C22</f>
        <v>220000</v>
      </c>
      <c r="D161" s="4">
        <f>[1]Kran!D22</f>
        <v>220000</v>
      </c>
    </row>
    <row r="162" spans="1:4" x14ac:dyDescent="0.25">
      <c r="A162" t="s">
        <v>322</v>
      </c>
      <c r="B162" t="s">
        <v>323</v>
      </c>
      <c r="C162" s="4">
        <f>[1]Kran!C21</f>
        <v>300000</v>
      </c>
      <c r="D162" s="4">
        <f>[1]Kran!D21</f>
        <v>0</v>
      </c>
    </row>
    <row r="163" spans="1:4" x14ac:dyDescent="0.25">
      <c r="A163" t="s">
        <v>324</v>
      </c>
      <c r="B163" t="s">
        <v>325</v>
      </c>
      <c r="C163" s="4">
        <f>[1]Kran!C20</f>
        <v>145000</v>
      </c>
      <c r="D163" s="4">
        <f>[1]Kran!D20</f>
        <v>145000</v>
      </c>
    </row>
    <row r="164" spans="1:4" x14ac:dyDescent="0.25">
      <c r="A164" t="s">
        <v>326</v>
      </c>
      <c r="B164" t="s">
        <v>327</v>
      </c>
      <c r="C164" s="4">
        <f>[1]Kran!C13</f>
        <v>115000</v>
      </c>
      <c r="D164" s="4">
        <f>[1]Kran!D13</f>
        <v>115000</v>
      </c>
    </row>
    <row r="165" spans="1:4" x14ac:dyDescent="0.25">
      <c r="A165" t="s">
        <v>328</v>
      </c>
      <c r="B165" t="s">
        <v>329</v>
      </c>
      <c r="C165" s="4">
        <f>[1]Kran!C14</f>
        <v>135000</v>
      </c>
      <c r="D165" s="4">
        <f>[1]Kran!D14</f>
        <v>135000</v>
      </c>
    </row>
    <row r="166" spans="1:4" x14ac:dyDescent="0.25">
      <c r="A166" t="s">
        <v>330</v>
      </c>
      <c r="B166" t="s">
        <v>331</v>
      </c>
      <c r="C166" s="4">
        <f>[1]Kran!C15</f>
        <v>105000</v>
      </c>
      <c r="D166" s="4">
        <f>[1]Kran!D15</f>
        <v>105000</v>
      </c>
    </row>
    <row r="167" spans="1:4" x14ac:dyDescent="0.25">
      <c r="A167" t="s">
        <v>332</v>
      </c>
      <c r="B167" t="s">
        <v>333</v>
      </c>
      <c r="C167" s="4">
        <f>[1]Kran!C16</f>
        <v>95000</v>
      </c>
      <c r="D167" s="4">
        <f>[1]Kran!D16</f>
        <v>0</v>
      </c>
    </row>
    <row r="168" spans="1:4" x14ac:dyDescent="0.25">
      <c r="A168" t="s">
        <v>334</v>
      </c>
      <c r="B168" t="s">
        <v>335</v>
      </c>
      <c r="C168" s="4">
        <f>[1]Kran!C17</f>
        <v>350000</v>
      </c>
      <c r="D168" s="4">
        <f>[1]Kran!D17</f>
        <v>350000</v>
      </c>
    </row>
    <row r="169" spans="1:4" x14ac:dyDescent="0.25">
      <c r="A169" t="s">
        <v>336</v>
      </c>
      <c r="B169" t="s">
        <v>337</v>
      </c>
      <c r="C169" s="4">
        <f>[1]Kran!C9</f>
        <v>115000</v>
      </c>
      <c r="D169" s="4">
        <f>[1]Kran!D9</f>
        <v>115000</v>
      </c>
    </row>
    <row r="170" spans="1:4" x14ac:dyDescent="0.25">
      <c r="A170" t="s">
        <v>338</v>
      </c>
      <c r="B170" t="s">
        <v>339</v>
      </c>
      <c r="C170" s="4">
        <f>[1]Kran!C11</f>
        <v>105000</v>
      </c>
      <c r="D170" s="4">
        <f>[1]Kran!D11</f>
        <v>105000</v>
      </c>
    </row>
    <row r="171" spans="1:4" x14ac:dyDescent="0.25">
      <c r="A171" t="s">
        <v>340</v>
      </c>
      <c r="B171" t="s">
        <v>341</v>
      </c>
      <c r="C171" s="4">
        <f>[1]Kran!C5</f>
        <v>115000</v>
      </c>
      <c r="D171" s="4">
        <f>[1]Kran!D5</f>
        <v>115000</v>
      </c>
    </row>
    <row r="172" spans="1:4" x14ac:dyDescent="0.25">
      <c r="A172" t="s">
        <v>342</v>
      </c>
      <c r="B172" t="s">
        <v>343</v>
      </c>
      <c r="C172" s="4">
        <f>[1]Kran!C10</f>
        <v>115000</v>
      </c>
      <c r="D172" s="4">
        <f>[1]Kran!D10</f>
        <v>115000</v>
      </c>
    </row>
    <row r="173" spans="1:4" x14ac:dyDescent="0.25">
      <c r="A173" t="s">
        <v>344</v>
      </c>
      <c r="B173" t="s">
        <v>345</v>
      </c>
      <c r="C173" s="4">
        <f>[1]Kran!C6</f>
        <v>135000</v>
      </c>
      <c r="D173" s="4">
        <f>[1]Kran!D6</f>
        <v>135000</v>
      </c>
    </row>
    <row r="174" spans="1:4" x14ac:dyDescent="0.25">
      <c r="A174" t="s">
        <v>346</v>
      </c>
      <c r="B174" t="s">
        <v>347</v>
      </c>
      <c r="C174" s="4">
        <f>[1]Kran!C8</f>
        <v>125000</v>
      </c>
      <c r="D174" s="4">
        <f>[1]Kran!D8</f>
        <v>125000</v>
      </c>
    </row>
    <row r="175" spans="1:4" x14ac:dyDescent="0.25">
      <c r="A175" t="s">
        <v>348</v>
      </c>
      <c r="B175" t="s">
        <v>349</v>
      </c>
      <c r="C175" s="4">
        <f>[1]Kran!C7</f>
        <v>105000</v>
      </c>
      <c r="D175" s="4">
        <f>[1]Kran!D7</f>
        <v>105000</v>
      </c>
    </row>
    <row r="176" spans="1:4" x14ac:dyDescent="0.25">
      <c r="A176" t="s">
        <v>350</v>
      </c>
      <c r="B176" t="s">
        <v>351</v>
      </c>
      <c r="C176" s="4">
        <f>[1]Kran!C12</f>
        <v>105000</v>
      </c>
      <c r="D176" s="4">
        <f>[1]Kran!D12</f>
        <v>105000</v>
      </c>
    </row>
    <row r="177" spans="1:4" x14ac:dyDescent="0.25">
      <c r="A177" t="s">
        <v>352</v>
      </c>
      <c r="B177" t="s">
        <v>353</v>
      </c>
      <c r="C177" s="4">
        <f>[1]Liquid!C21</f>
        <v>3850000</v>
      </c>
      <c r="D177" s="4">
        <f>[1]Liquid!D21</f>
        <v>3850000</v>
      </c>
    </row>
    <row r="178" spans="1:4" x14ac:dyDescent="0.25">
      <c r="A178" t="s">
        <v>354</v>
      </c>
      <c r="B178" t="s">
        <v>355</v>
      </c>
      <c r="C178" s="4">
        <f>[1]Liquid!C20</f>
        <v>1750000</v>
      </c>
      <c r="D178" s="4">
        <f>[1]Liquid!D20</f>
        <v>1750000</v>
      </c>
    </row>
    <row r="179" spans="1:4" x14ac:dyDescent="0.25">
      <c r="A179" t="s">
        <v>356</v>
      </c>
      <c r="B179" t="s">
        <v>357</v>
      </c>
      <c r="C179" s="4">
        <f>[1]Kran!C68</f>
        <v>715000</v>
      </c>
      <c r="D179" s="4">
        <f>[1]Kran!D68</f>
        <v>715000</v>
      </c>
    </row>
    <row r="180" spans="1:4" x14ac:dyDescent="0.25">
      <c r="A180" t="s">
        <v>358</v>
      </c>
      <c r="B180" t="s">
        <v>359</v>
      </c>
      <c r="C180" s="4">
        <f>[1]Kran!C68</f>
        <v>715000</v>
      </c>
      <c r="D180" s="4">
        <f>[1]Kran!D68</f>
        <v>715000</v>
      </c>
    </row>
    <row r="181" spans="1:4" x14ac:dyDescent="0.25">
      <c r="A181" t="s">
        <v>360</v>
      </c>
      <c r="B181" t="s">
        <v>361</v>
      </c>
      <c r="C181" s="4">
        <f>[1]Kran!C68</f>
        <v>715000</v>
      </c>
      <c r="D181" s="4">
        <f>[1]Kran!D68</f>
        <v>715000</v>
      </c>
    </row>
    <row r="182" spans="1:4" x14ac:dyDescent="0.25">
      <c r="A182" t="s">
        <v>362</v>
      </c>
      <c r="B182" t="s">
        <v>363</v>
      </c>
      <c r="C182" s="4">
        <f>[1]Kran!C68</f>
        <v>715000</v>
      </c>
      <c r="D182" s="4">
        <f>[1]Kran!D68</f>
        <v>715000</v>
      </c>
    </row>
    <row r="183" spans="1:4" x14ac:dyDescent="0.25">
      <c r="A183" t="s">
        <v>364</v>
      </c>
      <c r="B183" t="s">
        <v>365</v>
      </c>
      <c r="C183" s="4">
        <f>[1]Kran!C68</f>
        <v>715000</v>
      </c>
      <c r="D183" s="4">
        <f>[1]Kran!D68</f>
        <v>715000</v>
      </c>
    </row>
    <row r="184" spans="1:4" x14ac:dyDescent="0.25">
      <c r="A184" t="s">
        <v>366</v>
      </c>
      <c r="B184" t="s">
        <v>367</v>
      </c>
      <c r="C184" s="4">
        <f>[1]Kran!C68</f>
        <v>715000</v>
      </c>
      <c r="D184" s="4">
        <f>[1]Kran!D68</f>
        <v>715000</v>
      </c>
    </row>
    <row r="185" spans="1:4" x14ac:dyDescent="0.25">
      <c r="A185" t="s">
        <v>368</v>
      </c>
      <c r="B185" t="s">
        <v>369</v>
      </c>
      <c r="C185" s="4">
        <f>[1]Kran!C68</f>
        <v>715000</v>
      </c>
      <c r="D185" s="4">
        <f>[1]Kran!D68</f>
        <v>715000</v>
      </c>
    </row>
    <row r="186" spans="1:4" x14ac:dyDescent="0.25">
      <c r="A186" t="s">
        <v>370</v>
      </c>
      <c r="B186" t="s">
        <v>371</v>
      </c>
      <c r="C186" s="4">
        <f>[1]Liquid!C8</f>
        <v>20000</v>
      </c>
      <c r="D186" s="4">
        <f>[1]Liquid!D8</f>
        <v>20000</v>
      </c>
    </row>
    <row r="187" spans="1:4" x14ac:dyDescent="0.25">
      <c r="A187" t="s">
        <v>372</v>
      </c>
      <c r="B187" t="s">
        <v>373</v>
      </c>
      <c r="C187" s="4">
        <f>[1]Liquid!C14</f>
        <v>240000</v>
      </c>
      <c r="D187" s="4">
        <f>[1]Liquid!D14</f>
        <v>240000</v>
      </c>
    </row>
    <row r="188" spans="1:4" x14ac:dyDescent="0.25">
      <c r="A188" t="s">
        <v>374</v>
      </c>
      <c r="B188" t="s">
        <v>375</v>
      </c>
      <c r="C188" s="4">
        <f>[1]Liquid!C14</f>
        <v>240000</v>
      </c>
      <c r="D188" s="4">
        <f>[1]Liquid!D14</f>
        <v>240000</v>
      </c>
    </row>
    <row r="189" spans="1:4" x14ac:dyDescent="0.25">
      <c r="A189" t="s">
        <v>376</v>
      </c>
      <c r="B189" t="s">
        <v>377</v>
      </c>
      <c r="C189" s="4">
        <f>[1]Liquid!C9</f>
        <v>660000</v>
      </c>
      <c r="D189" s="4">
        <f>[1]Liquid!D9</f>
        <v>660000</v>
      </c>
    </row>
    <row r="190" spans="1:4" x14ac:dyDescent="0.25">
      <c r="A190" t="s">
        <v>378</v>
      </c>
      <c r="B190" t="s">
        <v>379</v>
      </c>
      <c r="C190" s="4">
        <f>[1]Liquid!C16</f>
        <v>325000</v>
      </c>
      <c r="D190" s="4">
        <f>[1]Liquid!D16</f>
        <v>325000</v>
      </c>
    </row>
    <row r="191" spans="1:4" x14ac:dyDescent="0.25">
      <c r="A191" t="s">
        <v>380</v>
      </c>
      <c r="B191" t="s">
        <v>381</v>
      </c>
      <c r="C191" s="4">
        <f>[1]Liquid!C17</f>
        <v>415000</v>
      </c>
      <c r="D191" s="4">
        <f>[1]Liquid!D17</f>
        <v>415000</v>
      </c>
    </row>
    <row r="192" spans="1:4" x14ac:dyDescent="0.25">
      <c r="A192" t="s">
        <v>382</v>
      </c>
      <c r="B192" t="s">
        <v>383</v>
      </c>
      <c r="C192" s="4">
        <f>[1]Liquid!C11</f>
        <v>1320000</v>
      </c>
      <c r="D192" s="4">
        <f>[1]Liquid!D11</f>
        <v>1320000</v>
      </c>
    </row>
    <row r="193" spans="1:4" x14ac:dyDescent="0.25">
      <c r="A193" t="s">
        <v>384</v>
      </c>
      <c r="B193" t="s">
        <v>385</v>
      </c>
      <c r="C193" s="4">
        <f>[1]Liquid!C12</f>
        <v>125000</v>
      </c>
      <c r="D193" s="4">
        <f>[1]Liquid!D12</f>
        <v>125000</v>
      </c>
    </row>
    <row r="194" spans="1:4" x14ac:dyDescent="0.25">
      <c r="A194" t="s">
        <v>386</v>
      </c>
      <c r="B194" t="s">
        <v>387</v>
      </c>
      <c r="C194" s="4">
        <f>[1]Liquid!C18</f>
        <v>590000</v>
      </c>
      <c r="D194" s="4">
        <f>[1]Liquid!D18</f>
        <v>590000</v>
      </c>
    </row>
    <row r="195" spans="1:4" x14ac:dyDescent="0.25">
      <c r="A195" t="s">
        <v>388</v>
      </c>
      <c r="B195" t="s">
        <v>389</v>
      </c>
      <c r="C195" s="4">
        <f>[1]Liquid!C13</f>
        <v>150000</v>
      </c>
      <c r="D195" s="4">
        <f>[1]Liquid!D13</f>
        <v>150000</v>
      </c>
    </row>
    <row r="196" spans="1:4" x14ac:dyDescent="0.25">
      <c r="A196" t="s">
        <v>390</v>
      </c>
      <c r="B196" t="s">
        <v>391</v>
      </c>
      <c r="C196" s="4">
        <f>[1]Liquid!C13</f>
        <v>150000</v>
      </c>
      <c r="D196" s="4">
        <f>[1]Liquid!D13</f>
        <v>150000</v>
      </c>
    </row>
    <row r="197" spans="1:4" x14ac:dyDescent="0.25">
      <c r="A197" t="s">
        <v>392</v>
      </c>
      <c r="B197" t="s">
        <v>393</v>
      </c>
      <c r="C197" s="4">
        <f>[1]Kran!C79</f>
        <v>2500000</v>
      </c>
      <c r="D197" s="4">
        <f>[1]Kran!D79</f>
        <v>2500000</v>
      </c>
    </row>
    <row r="198" spans="1:4" x14ac:dyDescent="0.25">
      <c r="A198" t="s">
        <v>394</v>
      </c>
      <c r="B198" t="s">
        <v>395</v>
      </c>
      <c r="C198" s="4">
        <f>[1]Liquid!C5</f>
        <v>660000</v>
      </c>
      <c r="D198" s="4">
        <f>[1]Liquid!D5</f>
        <v>660000</v>
      </c>
    </row>
    <row r="199" spans="1:4" x14ac:dyDescent="0.25">
      <c r="A199" t="s">
        <v>396</v>
      </c>
      <c r="B199" t="s">
        <v>397</v>
      </c>
      <c r="C199" s="4">
        <f>[1]Liquid!C7</f>
        <v>1320000</v>
      </c>
      <c r="D199" s="4">
        <f>[1]Liquid!D7</f>
        <v>1320000</v>
      </c>
    </row>
    <row r="200" spans="1:4" x14ac:dyDescent="0.25">
      <c r="A200" t="s">
        <v>398</v>
      </c>
      <c r="B200" t="s">
        <v>399</v>
      </c>
      <c r="C200" s="4">
        <f>[1]Kran!C51</f>
        <v>12000000</v>
      </c>
      <c r="D200" s="4">
        <f>[1]Kran!D51</f>
        <v>12500000</v>
      </c>
    </row>
    <row r="201" spans="1:4" x14ac:dyDescent="0.25">
      <c r="A201" t="s">
        <v>400</v>
      </c>
      <c r="B201" t="s">
        <v>401</v>
      </c>
      <c r="C201" s="4">
        <f>[1]Kran!C49</f>
        <v>6000000</v>
      </c>
      <c r="D201" s="4">
        <f>[1]Kran!D49</f>
        <v>6250000</v>
      </c>
    </row>
    <row r="202" spans="1:4" x14ac:dyDescent="0.25">
      <c r="A202" t="s">
        <v>402</v>
      </c>
      <c r="B202" t="s">
        <v>403</v>
      </c>
      <c r="C202" s="4">
        <f>[1]Kran!C50</f>
        <v>7200000</v>
      </c>
      <c r="D202" s="4">
        <f>[1]Kran!D50</f>
        <v>7500000</v>
      </c>
    </row>
    <row r="203" spans="1:4" x14ac:dyDescent="0.25">
      <c r="A203" t="s">
        <v>404</v>
      </c>
      <c r="B203" t="s">
        <v>405</v>
      </c>
      <c r="C203" s="4">
        <f>[1]Gas!C109</f>
        <v>0</v>
      </c>
      <c r="D203" s="4">
        <f>[1]Gas!D109</f>
        <v>0</v>
      </c>
    </row>
    <row r="204" spans="1:4" x14ac:dyDescent="0.25">
      <c r="A204" t="s">
        <v>406</v>
      </c>
      <c r="B204" t="s">
        <v>407</v>
      </c>
      <c r="C204" s="4">
        <f>[1]Tabung!C48</f>
        <v>20000</v>
      </c>
      <c r="D204" s="4">
        <f>[1]Tabung!D48</f>
        <v>20000</v>
      </c>
    </row>
    <row r="205" spans="1:4" x14ac:dyDescent="0.25">
      <c r="A205" t="s">
        <v>408</v>
      </c>
      <c r="B205" t="s">
        <v>409</v>
      </c>
      <c r="C205" s="4">
        <f>[1]Tabung!C38</f>
        <v>2200000</v>
      </c>
      <c r="D205" s="4">
        <f>[1]Tabung!D38</f>
        <v>2200000</v>
      </c>
    </row>
    <row r="206" spans="1:4" x14ac:dyDescent="0.25">
      <c r="A206" t="s">
        <v>410</v>
      </c>
      <c r="B206" t="s">
        <v>411</v>
      </c>
      <c r="C206" s="4">
        <f>[1]Tabung!C39</f>
        <v>3300000</v>
      </c>
      <c r="D206" s="4">
        <f>[1]Tabung!D39</f>
        <v>3300000</v>
      </c>
    </row>
    <row r="207" spans="1:4" x14ac:dyDescent="0.25">
      <c r="A207" t="s">
        <v>412</v>
      </c>
      <c r="B207" t="s">
        <v>413</v>
      </c>
      <c r="C207" s="4">
        <f>[1]Kran!C37</f>
        <v>125000</v>
      </c>
      <c r="D207" s="4">
        <f>[1]Kran!D37</f>
        <v>125000</v>
      </c>
    </row>
    <row r="208" spans="1:4" x14ac:dyDescent="0.25">
      <c r="A208" t="s">
        <v>414</v>
      </c>
      <c r="B208" t="s">
        <v>415</v>
      </c>
      <c r="C208" s="4">
        <f>[1]Kran!C38</f>
        <v>550000</v>
      </c>
      <c r="D208" s="4">
        <f>[1]Kran!D38</f>
        <v>550000</v>
      </c>
    </row>
    <row r="209" spans="1:4" x14ac:dyDescent="0.25">
      <c r="A209" t="s">
        <v>416</v>
      </c>
      <c r="B209" t="s">
        <v>417</v>
      </c>
      <c r="C209" s="4">
        <f>[1]Kran!C40</f>
        <v>210000</v>
      </c>
      <c r="D209" s="4">
        <f>[1]Kran!D40</f>
        <v>210000</v>
      </c>
    </row>
    <row r="210" spans="1:4" x14ac:dyDescent="0.25">
      <c r="A210" t="s">
        <v>418</v>
      </c>
      <c r="B210" t="s">
        <v>419</v>
      </c>
      <c r="C210" s="4">
        <f>[1]Kran!C39</f>
        <v>210000</v>
      </c>
      <c r="D210" s="4">
        <f>[1]Kran!D39</f>
        <v>210000</v>
      </c>
    </row>
    <row r="211" spans="1:4" x14ac:dyDescent="0.25">
      <c r="A211" t="s">
        <v>420</v>
      </c>
      <c r="B211" t="s">
        <v>421</v>
      </c>
      <c r="C211" s="4">
        <f>[1]Kran!C42</f>
        <v>280000</v>
      </c>
      <c r="D211" s="4">
        <f>[1]Kran!D42</f>
        <v>280000</v>
      </c>
    </row>
    <row r="212" spans="1:4" x14ac:dyDescent="0.25">
      <c r="A212" t="s">
        <v>422</v>
      </c>
      <c r="B212" t="s">
        <v>423</v>
      </c>
      <c r="C212" s="4">
        <f>[1]Kran!C41</f>
        <v>550000</v>
      </c>
      <c r="D212" s="4">
        <f>[1]Kran!D41</f>
        <v>550000</v>
      </c>
    </row>
    <row r="213" spans="1:4" x14ac:dyDescent="0.25">
      <c r="A213" t="s">
        <v>424</v>
      </c>
      <c r="B213" t="s">
        <v>425</v>
      </c>
      <c r="C213" s="4">
        <f>[1]Kran!C43</f>
        <v>210000</v>
      </c>
      <c r="D213" s="4">
        <f>[1]Kran!D43</f>
        <v>210000</v>
      </c>
    </row>
    <row r="214" spans="1:4" x14ac:dyDescent="0.25">
      <c r="A214" t="s">
        <v>426</v>
      </c>
      <c r="B214" t="s">
        <v>427</v>
      </c>
      <c r="C214" s="4">
        <f>[1]Kran!C44</f>
        <v>210000</v>
      </c>
      <c r="D214" s="4">
        <f>[1]Kran!D44</f>
        <v>210000</v>
      </c>
    </row>
    <row r="215" spans="1:4" x14ac:dyDescent="0.25">
      <c r="A215" t="s">
        <v>428</v>
      </c>
      <c r="B215" t="s">
        <v>429</v>
      </c>
      <c r="C215" s="4">
        <f>[1]Kran!C47</f>
        <v>300000</v>
      </c>
      <c r="D215" s="4">
        <f>[1]Kran!D47</f>
        <v>300000</v>
      </c>
    </row>
    <row r="216" spans="1:4" x14ac:dyDescent="0.25">
      <c r="A216" t="s">
        <v>430</v>
      </c>
      <c r="B216" t="s">
        <v>431</v>
      </c>
      <c r="C216" s="4">
        <f>[1]Kran!C48</f>
        <v>900000</v>
      </c>
      <c r="D216" s="4">
        <f>[1]Kran!D48</f>
        <v>195000</v>
      </c>
    </row>
    <row r="217" spans="1:4" x14ac:dyDescent="0.25">
      <c r="A217" t="s">
        <v>432</v>
      </c>
      <c r="B217" t="s">
        <v>433</v>
      </c>
      <c r="C217" s="4">
        <f>[1]Kran!C45</f>
        <v>350000</v>
      </c>
      <c r="D217" s="4">
        <f>[1]Kran!D45</f>
        <v>350000</v>
      </c>
    </row>
    <row r="218" spans="1:4" x14ac:dyDescent="0.25">
      <c r="A218" t="s">
        <v>434</v>
      </c>
      <c r="B218" t="s">
        <v>435</v>
      </c>
      <c r="C218" s="4">
        <f>[1]Kran!C46</f>
        <v>525000</v>
      </c>
      <c r="D218" s="4">
        <f>[1]Kran!D46</f>
        <v>525000</v>
      </c>
    </row>
    <row r="219" spans="1:4" x14ac:dyDescent="0.25">
      <c r="A219" t="s">
        <v>436</v>
      </c>
      <c r="B219" t="s">
        <v>437</v>
      </c>
      <c r="C219" s="4">
        <f>[1]Tabung!C27+([1]Gas!C121*12)+[1]Gas!C117</f>
        <v>5600000</v>
      </c>
      <c r="D219" s="4">
        <f>[1]Tabung!D27+([1]Gas!D121*12)+[1]Gas!D117</f>
        <v>5725000</v>
      </c>
    </row>
    <row r="220" spans="1:4" x14ac:dyDescent="0.25">
      <c r="A220" t="s">
        <v>438</v>
      </c>
      <c r="B220" t="s">
        <v>439</v>
      </c>
      <c r="C220" s="4">
        <f>[1]Tabung!C27+([1]Gas!C121*4)+[1]Gas!C115</f>
        <v>3000000</v>
      </c>
      <c r="D220" s="4">
        <f>[1]Tabung!D27+([1]Gas!D121*4)+[1]Gas!D115</f>
        <v>3025000</v>
      </c>
    </row>
    <row r="221" spans="1:4" x14ac:dyDescent="0.25">
      <c r="A221" t="s">
        <v>440</v>
      </c>
      <c r="B221" t="s">
        <v>441</v>
      </c>
      <c r="C221" s="4">
        <f>[1]Tabung!C27+[1]Gas!C110+([1]Gas!C121*4)</f>
        <v>2600000</v>
      </c>
      <c r="D221" s="4">
        <f>[1]Tabung!D27+[1]Gas!D110+([1]Gas!D121*4)</f>
        <v>2650000</v>
      </c>
    </row>
    <row r="222" spans="1:4" x14ac:dyDescent="0.25">
      <c r="A222" t="s">
        <v>442</v>
      </c>
      <c r="B222" t="s">
        <v>443</v>
      </c>
      <c r="C222" s="4">
        <f>[1]Tabung!C27+([1]Gas!C123)+[1]Gas!C116</f>
        <v>1885000</v>
      </c>
      <c r="D222" s="4">
        <f>[1]Tabung!D27+([1]Gas!D123)+[1]Gas!D116</f>
        <v>1910000</v>
      </c>
    </row>
    <row r="223" spans="1:4" x14ac:dyDescent="0.25">
      <c r="A223" t="s">
        <v>444</v>
      </c>
      <c r="B223" t="s">
        <v>445</v>
      </c>
      <c r="C223" s="4">
        <f>[1]Tabung!C27+[1]Gas!C123+[1]Gas!C110</f>
        <v>1335000</v>
      </c>
      <c r="D223" s="4">
        <f>[1]Tabung!D27+[1]Gas!D123+[1]Gas!D110</f>
        <v>1385000</v>
      </c>
    </row>
    <row r="224" spans="1:4" x14ac:dyDescent="0.25">
      <c r="A224" s="8">
        <v>100038</v>
      </c>
      <c r="B224" t="s">
        <v>446</v>
      </c>
      <c r="C224" s="4">
        <f>[1]Tabung!C27+[1]Gas!C114+([1]Gas!C121*8)</f>
        <v>4300000</v>
      </c>
      <c r="D224" s="4">
        <f>[1]Tabung!D27+[1]Gas!D114+([1]Gas!D121*8)</f>
        <v>4325000</v>
      </c>
    </row>
    <row r="225" spans="1:7" x14ac:dyDescent="0.25">
      <c r="A225" t="s">
        <v>447</v>
      </c>
      <c r="B225" t="s">
        <v>448</v>
      </c>
      <c r="C225" s="4">
        <f>[1]Tabung!C27</f>
        <v>1150000</v>
      </c>
      <c r="D225" s="4">
        <f>[1]Tabung!D27</f>
        <v>1175000</v>
      </c>
    </row>
    <row r="226" spans="1:7" x14ac:dyDescent="0.25">
      <c r="A226" t="s">
        <v>449</v>
      </c>
      <c r="B226" t="s">
        <v>450</v>
      </c>
      <c r="C226" s="4">
        <f>[1]Tabung!C27+([1]Gas!C110*3)+([1]Gas!C121*12)</f>
        <v>5500000</v>
      </c>
      <c r="D226" s="4">
        <f>[1]Tabung!D27+([1]Gas!D110*2)+([1]Gas!D121*12)</f>
        <v>5425000</v>
      </c>
    </row>
    <row r="227" spans="1:7" x14ac:dyDescent="0.25">
      <c r="A227" t="s">
        <v>451</v>
      </c>
      <c r="B227" t="s">
        <v>452</v>
      </c>
      <c r="C227" s="4">
        <f>[1]Tabung!C27+[1]Gas!C113+[1]Gas!C123</f>
        <v>1785000</v>
      </c>
      <c r="D227" s="4">
        <f>[1]Tabung!D27+[1]Gas!D113+[1]Gas!D123</f>
        <v>1810000</v>
      </c>
    </row>
    <row r="228" spans="1:7" x14ac:dyDescent="0.25">
      <c r="A228" t="s">
        <v>453</v>
      </c>
      <c r="B228" t="s">
        <v>454</v>
      </c>
      <c r="C228" s="4">
        <f>[1]Tabung!C27+[1]Gas!C113+([1]Gas!C121*8)</f>
        <v>4350000</v>
      </c>
      <c r="D228" s="4">
        <f>[1]Tabung!D27+[1]Gas!D113+([1]Gas!D121*8)</f>
        <v>4375000</v>
      </c>
    </row>
    <row r="229" spans="1:7" x14ac:dyDescent="0.25">
      <c r="A229" t="s">
        <v>455</v>
      </c>
      <c r="B229" t="s">
        <v>456</v>
      </c>
      <c r="C229" s="4">
        <f>[1]Tabung!C11</f>
        <v>415000</v>
      </c>
      <c r="D229" s="4">
        <f>[1]Tabung!D11</f>
        <v>435000</v>
      </c>
      <c r="F229" s="4"/>
    </row>
    <row r="230" spans="1:7" x14ac:dyDescent="0.25">
      <c r="A230" t="s">
        <v>457</v>
      </c>
      <c r="B230" t="s">
        <v>458</v>
      </c>
      <c r="C230" s="4">
        <f>[1]Tabung!C11+[1]Gas!C58</f>
        <v>455000</v>
      </c>
      <c r="D230" s="4">
        <f>[1]Tabung!D11+[1]Gas!D58</f>
        <v>475000</v>
      </c>
      <c r="F230" s="4"/>
      <c r="G230" t="s">
        <v>459</v>
      </c>
    </row>
    <row r="231" spans="1:7" x14ac:dyDescent="0.25">
      <c r="A231" t="s">
        <v>460</v>
      </c>
      <c r="B231" t="s">
        <v>461</v>
      </c>
      <c r="C231" s="4">
        <f>[1]Tabung!C12+[1]Gas!C59</f>
        <v>465000</v>
      </c>
      <c r="D231" s="4">
        <f>[1]Tabung!D12+[1]Gas!D59</f>
        <v>485000</v>
      </c>
      <c r="F231" s="4"/>
    </row>
    <row r="232" spans="1:7" x14ac:dyDescent="0.25">
      <c r="A232" s="8">
        <v>100029</v>
      </c>
      <c r="B232" t="s">
        <v>462</v>
      </c>
      <c r="C232" s="4">
        <f>[1]Tabung!C12</f>
        <v>425000</v>
      </c>
      <c r="D232" s="4">
        <f>[1]Tabung!D12</f>
        <v>445000</v>
      </c>
      <c r="F232" s="4"/>
    </row>
    <row r="233" spans="1:7" x14ac:dyDescent="0.25">
      <c r="A233" t="s">
        <v>463</v>
      </c>
      <c r="B233" t="s">
        <v>464</v>
      </c>
      <c r="C233" s="4">
        <f>[1]Tabung!C13+[1]Gas!C61</f>
        <v>485000</v>
      </c>
      <c r="D233" s="4">
        <f>[1]Tabung!D13+[1]Gas!D61</f>
        <v>505000</v>
      </c>
      <c r="F233" s="4"/>
    </row>
    <row r="234" spans="1:7" x14ac:dyDescent="0.25">
      <c r="A234" t="s">
        <v>465</v>
      </c>
      <c r="B234" t="s">
        <v>466</v>
      </c>
      <c r="C234" s="4">
        <f>[1]Tabung!C13+[1]Gas!C62</f>
        <v>485000</v>
      </c>
      <c r="D234" s="4">
        <f>[1]Tabung!D13+[1]Gas!D62</f>
        <v>515000</v>
      </c>
      <c r="F234" s="4"/>
    </row>
    <row r="235" spans="1:7" x14ac:dyDescent="0.25">
      <c r="A235" t="s">
        <v>467</v>
      </c>
      <c r="B235" t="s">
        <v>468</v>
      </c>
      <c r="C235" s="4">
        <f>[1]Tabung!C13</f>
        <v>435000</v>
      </c>
      <c r="D235" s="4">
        <f>[1]Tabung!D13</f>
        <v>455000</v>
      </c>
      <c r="F235" s="4"/>
    </row>
    <row r="236" spans="1:7" x14ac:dyDescent="0.25">
      <c r="A236" t="s">
        <v>469</v>
      </c>
      <c r="B236" t="s">
        <v>470</v>
      </c>
      <c r="C236" s="4">
        <f>[1]Tabung!C13</f>
        <v>435000</v>
      </c>
      <c r="D236" s="4">
        <f>[1]Tabung!D13</f>
        <v>455000</v>
      </c>
      <c r="F236" s="4"/>
    </row>
    <row r="237" spans="1:7" x14ac:dyDescent="0.25">
      <c r="A237" t="s">
        <v>471</v>
      </c>
      <c r="B237" t="s">
        <v>472</v>
      </c>
      <c r="C237" s="4">
        <f>[1]Tabung!C14+[1]Gas!C61</f>
        <v>505000</v>
      </c>
      <c r="D237" s="4">
        <f>[1]Tabung!D14+[1]Gas!D61</f>
        <v>505000</v>
      </c>
      <c r="F237" s="4"/>
    </row>
    <row r="238" spans="1:7" x14ac:dyDescent="0.25">
      <c r="A238" t="s">
        <v>473</v>
      </c>
      <c r="B238" t="s">
        <v>474</v>
      </c>
      <c r="C238" s="4">
        <f>[1]Tabung!C14</f>
        <v>455000</v>
      </c>
      <c r="D238" s="4">
        <f>[1]Tabung!D14</f>
        <v>455000</v>
      </c>
      <c r="F238" s="4"/>
    </row>
    <row r="239" spans="1:7" x14ac:dyDescent="0.25">
      <c r="A239" t="s">
        <v>475</v>
      </c>
      <c r="B239" t="s">
        <v>476</v>
      </c>
      <c r="C239" s="4">
        <f>[1]Tabung!C13+[1]Gas!C61</f>
        <v>485000</v>
      </c>
      <c r="D239" s="4">
        <f>[1]Tabung!D13+[1]Gas!D61</f>
        <v>505000</v>
      </c>
      <c r="E239" s="4"/>
      <c r="F239" s="4"/>
    </row>
    <row r="240" spans="1:7" x14ac:dyDescent="0.25">
      <c r="A240" t="s">
        <v>477</v>
      </c>
      <c r="B240" t="s">
        <v>478</v>
      </c>
      <c r="C240" s="4">
        <f>[1]Tabung!C49</f>
        <v>0</v>
      </c>
      <c r="D240" s="4">
        <f>[1]Tabung!D49</f>
        <v>0</v>
      </c>
    </row>
    <row r="241" spans="1:6" x14ac:dyDescent="0.25">
      <c r="A241" t="s">
        <v>479</v>
      </c>
      <c r="B241" t="s">
        <v>480</v>
      </c>
      <c r="C241" s="4">
        <f>[1]Tabung!C5+[1]Kran!C29+[1]Gas!C136</f>
        <v>990000</v>
      </c>
      <c r="D241" s="4">
        <f>[1]Tabung!D5+[1]Kran!D29+[1]Gas!D136</f>
        <v>875000</v>
      </c>
      <c r="F241" s="4"/>
    </row>
    <row r="242" spans="1:6" x14ac:dyDescent="0.25">
      <c r="A242" t="s">
        <v>481</v>
      </c>
      <c r="B242" t="s">
        <v>482</v>
      </c>
      <c r="C242" s="4">
        <f>[1]Tabung!C5+[1]Kran!C29+[1]Gas!C124</f>
        <v>655000</v>
      </c>
      <c r="D242" s="4">
        <f>[1]Tabung!D5+[1]Kran!D29+[1]Gas!D124</f>
        <v>655000</v>
      </c>
    </row>
    <row r="243" spans="1:6" x14ac:dyDescent="0.25">
      <c r="A243" t="s">
        <v>483</v>
      </c>
      <c r="B243" t="s">
        <v>484</v>
      </c>
      <c r="C243" s="4">
        <f>[1]Tabung!C5+[1]Kran!C27+[1]Gas!C74</f>
        <v>890000</v>
      </c>
      <c r="D243" s="4">
        <f>[1]Tabung!D5+[1]Kran!D27+[1]Gas!D74</f>
        <v>890000</v>
      </c>
    </row>
    <row r="244" spans="1:6" x14ac:dyDescent="0.25">
      <c r="A244" t="s">
        <v>485</v>
      </c>
      <c r="B244" t="s">
        <v>486</v>
      </c>
      <c r="C244" s="4">
        <f>[1]Tabung!C5</f>
        <v>450000</v>
      </c>
      <c r="D244" s="4">
        <f>[1]Tabung!D5</f>
        <v>450000</v>
      </c>
    </row>
    <row r="245" spans="1:6" x14ac:dyDescent="0.25">
      <c r="A245" t="s">
        <v>487</v>
      </c>
      <c r="B245" t="s">
        <v>488</v>
      </c>
      <c r="C245" s="4">
        <f>[1]Tabung!C5</f>
        <v>450000</v>
      </c>
      <c r="D245" s="4">
        <f>[1]Tabung!D5</f>
        <v>450000</v>
      </c>
    </row>
    <row r="246" spans="1:6" x14ac:dyDescent="0.25">
      <c r="A246" t="s">
        <v>489</v>
      </c>
      <c r="B246" t="s">
        <v>490</v>
      </c>
      <c r="C246" s="4">
        <f>[1]Tabung!C5+[1]Gas!C94</f>
        <v>516000</v>
      </c>
      <c r="D246" s="4">
        <f>[1]Tabung!D5+[1]Gas!D94</f>
        <v>516000</v>
      </c>
    </row>
    <row r="247" spans="1:6" x14ac:dyDescent="0.25">
      <c r="A247" t="s">
        <v>491</v>
      </c>
      <c r="B247" t="s">
        <v>492</v>
      </c>
      <c r="C247" s="4">
        <f>[1]Tabung!C5+[1]Gas!C101</f>
        <v>700000</v>
      </c>
      <c r="D247" s="4">
        <f>[1]Tabung!D5+[1]Gas!D101</f>
        <v>700000</v>
      </c>
    </row>
    <row r="248" spans="1:6" x14ac:dyDescent="0.25">
      <c r="A248" t="s">
        <v>493</v>
      </c>
      <c r="B248" t="s">
        <v>494</v>
      </c>
      <c r="C248" s="4">
        <f>[1]Tabung!C5+[1]Gas!C84</f>
        <v>3450000</v>
      </c>
      <c r="D248" s="4">
        <f>[1]Tabung!D5+[1]Gas!D84</f>
        <v>3450000</v>
      </c>
    </row>
    <row r="249" spans="1:6" x14ac:dyDescent="0.25">
      <c r="A249" t="s">
        <v>495</v>
      </c>
      <c r="B249" t="s">
        <v>496</v>
      </c>
      <c r="C249" s="4">
        <f>[1]Tabung!C5+[1]Gas!C39</f>
        <v>1950000</v>
      </c>
      <c r="D249" s="4">
        <f>[1]Tabung!D5+[1]Gas!D39</f>
        <v>1950000</v>
      </c>
    </row>
    <row r="250" spans="1:6" x14ac:dyDescent="0.25">
      <c r="A250" t="s">
        <v>497</v>
      </c>
      <c r="B250" t="s">
        <v>498</v>
      </c>
      <c r="C250" s="4">
        <f>[1]Tabung!C5+[1]Gas!C20</f>
        <v>475000</v>
      </c>
      <c r="D250" s="4">
        <f>[1]Tabung!D5+[1]Gas!D20</f>
        <v>475000</v>
      </c>
    </row>
    <row r="251" spans="1:6" x14ac:dyDescent="0.25">
      <c r="A251" t="s">
        <v>499</v>
      </c>
      <c r="B251" t="s">
        <v>500</v>
      </c>
      <c r="C251" s="4">
        <f>[1]Tabung!C5</f>
        <v>450000</v>
      </c>
      <c r="D251" s="4">
        <f>[1]Tabung!D5</f>
        <v>450000</v>
      </c>
    </row>
    <row r="252" spans="1:6" x14ac:dyDescent="0.25">
      <c r="A252" t="s">
        <v>501</v>
      </c>
      <c r="B252" t="s">
        <v>502</v>
      </c>
      <c r="C252" s="4">
        <f>[1]Tabung!C5</f>
        <v>450000</v>
      </c>
      <c r="D252" s="4">
        <f>[1]Tabung!D5</f>
        <v>450000</v>
      </c>
    </row>
    <row r="253" spans="1:6" x14ac:dyDescent="0.25">
      <c r="A253" t="s">
        <v>503</v>
      </c>
      <c r="B253" t="s">
        <v>504</v>
      </c>
      <c r="C253" s="4">
        <f>[1]Tabung!C6+[1]Kran!C27</f>
        <v>485000</v>
      </c>
      <c r="D253" s="4">
        <f>[1]Tabung!D6+[1]Kran!D27</f>
        <v>485000</v>
      </c>
    </row>
    <row r="254" spans="1:6" x14ac:dyDescent="0.25">
      <c r="A254" t="s">
        <v>505</v>
      </c>
      <c r="B254" t="s">
        <v>506</v>
      </c>
      <c r="C254" s="4">
        <f>[1]Tabung!C6+[1]Kran!C27+[1]Gas!C75</f>
        <v>485000</v>
      </c>
      <c r="D254" s="4">
        <f>[1]Tabung!D6+[1]Kran!D27+[1]Gas!D75</f>
        <v>485000</v>
      </c>
    </row>
    <row r="255" spans="1:6" x14ac:dyDescent="0.25">
      <c r="A255" t="s">
        <v>507</v>
      </c>
      <c r="B255" t="s">
        <v>508</v>
      </c>
      <c r="C255" s="4">
        <f>[1]Tabung!C6</f>
        <v>450000</v>
      </c>
      <c r="D255" s="4">
        <f>[1]Tabung!D6</f>
        <v>450000</v>
      </c>
    </row>
    <row r="256" spans="1:6" x14ac:dyDescent="0.25">
      <c r="A256" t="s">
        <v>509</v>
      </c>
      <c r="B256" t="s">
        <v>510</v>
      </c>
      <c r="C256" s="4">
        <f>[1]Tabung!C7+[1]Gas!C95</f>
        <v>516000</v>
      </c>
      <c r="D256" s="4">
        <f>[1]Tabung!D7+[1]Gas!D95</f>
        <v>516000</v>
      </c>
    </row>
    <row r="257" spans="1:4" x14ac:dyDescent="0.25">
      <c r="A257" t="s">
        <v>511</v>
      </c>
      <c r="B257" t="s">
        <v>512</v>
      </c>
      <c r="C257" s="4">
        <f>[1]Tabung!C7+[1]Gas!C102</f>
        <v>450000</v>
      </c>
      <c r="D257" s="4">
        <f>[1]Tabung!D7+[1]Gas!D102</f>
        <v>450000</v>
      </c>
    </row>
    <row r="258" spans="1:4" x14ac:dyDescent="0.25">
      <c r="A258" t="s">
        <v>513</v>
      </c>
      <c r="B258" t="s">
        <v>514</v>
      </c>
      <c r="C258" s="4">
        <f>[1]Tabung!C7+[1]Gas!C85</f>
        <v>450000</v>
      </c>
      <c r="D258" s="4">
        <f>[1]Tabung!D7+[1]Gas!D85</f>
        <v>450000</v>
      </c>
    </row>
    <row r="259" spans="1:4" x14ac:dyDescent="0.25">
      <c r="A259" t="s">
        <v>515</v>
      </c>
      <c r="B259" t="s">
        <v>516</v>
      </c>
      <c r="C259" s="4">
        <f>[1]Tabung!C7+[1]Gas!C40</f>
        <v>1950000</v>
      </c>
      <c r="D259" s="4">
        <f>[1]Tabung!D7+[1]Gas!D40</f>
        <v>1950000</v>
      </c>
    </row>
    <row r="260" spans="1:4" x14ac:dyDescent="0.25">
      <c r="A260" t="s">
        <v>517</v>
      </c>
      <c r="B260" t="s">
        <v>518</v>
      </c>
      <c r="C260" s="4">
        <f>[1]Tabung!C7+[1]Gas!C20</f>
        <v>475000</v>
      </c>
      <c r="D260" s="4">
        <f>[1]Tabung!D7+[1]Gas!D20</f>
        <v>475000</v>
      </c>
    </row>
    <row r="261" spans="1:4" x14ac:dyDescent="0.25">
      <c r="A261" t="s">
        <v>519</v>
      </c>
      <c r="B261" t="s">
        <v>520</v>
      </c>
      <c r="C261" s="4">
        <f>[1]Tabung!C7</f>
        <v>450000</v>
      </c>
      <c r="D261" s="4">
        <f>[1]Tabung!D7</f>
        <v>450000</v>
      </c>
    </row>
    <row r="262" spans="1:4" x14ac:dyDescent="0.25">
      <c r="A262" t="s">
        <v>521</v>
      </c>
      <c r="B262" t="s">
        <v>522</v>
      </c>
      <c r="C262" s="4">
        <f>[1]Tabung!C6+[1]Kran!C29+[1]Gas!C130</f>
        <v>715000</v>
      </c>
      <c r="D262" s="4">
        <f>[1]Tabung!D6+[1]Kran!D29+[1]Gas!D130</f>
        <v>740000</v>
      </c>
    </row>
    <row r="263" spans="1:4" x14ac:dyDescent="0.25">
      <c r="A263" t="s">
        <v>523</v>
      </c>
      <c r="B263" t="s">
        <v>524</v>
      </c>
      <c r="C263" s="4">
        <f>[1]Tabung!C6+[1]Kran!C29+[1]Gas!C137</f>
        <v>890000</v>
      </c>
      <c r="D263" s="4">
        <f>[1]Tabung!D6+[1]Kran!D29+[1]Gas!D137</f>
        <v>890000</v>
      </c>
    </row>
    <row r="264" spans="1:4" x14ac:dyDescent="0.25">
      <c r="A264" t="s">
        <v>525</v>
      </c>
      <c r="B264" t="s">
        <v>526</v>
      </c>
      <c r="C264" s="4">
        <f>[1]Tabung!C7</f>
        <v>450000</v>
      </c>
      <c r="D264" s="4">
        <f>[1]Tabung!D7</f>
        <v>450000</v>
      </c>
    </row>
    <row r="265" spans="1:4" x14ac:dyDescent="0.25">
      <c r="A265" t="s">
        <v>527</v>
      </c>
      <c r="B265" t="s">
        <v>528</v>
      </c>
      <c r="C265" s="4">
        <f>[1]Tabung!C6+([1]Kran!C34)</f>
        <v>400000</v>
      </c>
      <c r="D265" s="4">
        <f>[1]Tabung!D6+([1]Kran!D34)</f>
        <v>400000</v>
      </c>
    </row>
    <row r="266" spans="1:4" x14ac:dyDescent="0.25">
      <c r="A266" t="s">
        <v>529</v>
      </c>
      <c r="B266" t="s">
        <v>530</v>
      </c>
      <c r="C266" s="4">
        <f>[1]Tabung!C10</f>
        <v>450000</v>
      </c>
      <c r="D266" s="4">
        <f>[1]Tabung!D10</f>
        <v>450000</v>
      </c>
    </row>
    <row r="267" spans="1:4" x14ac:dyDescent="0.25">
      <c r="A267" t="s">
        <v>531</v>
      </c>
      <c r="B267" t="s">
        <v>532</v>
      </c>
      <c r="C267" s="4">
        <f>[1]Tabung!C10</f>
        <v>450000</v>
      </c>
      <c r="D267" s="4">
        <f>[1]Tabung!D10</f>
        <v>450000</v>
      </c>
    </row>
    <row r="268" spans="1:4" x14ac:dyDescent="0.25">
      <c r="A268" t="s">
        <v>533</v>
      </c>
      <c r="B268" t="s">
        <v>534</v>
      </c>
      <c r="C268" s="4">
        <f>[1]Tabung!C8+[1]Kran!C29+[1]Gas!C138</f>
        <v>1015000</v>
      </c>
      <c r="D268" s="4">
        <f>[1]Tabung!D8+[1]Kran!D29+[1]Gas!D138</f>
        <v>1015000</v>
      </c>
    </row>
    <row r="269" spans="1:4" x14ac:dyDescent="0.25">
      <c r="A269" t="s">
        <v>535</v>
      </c>
      <c r="B269" t="s">
        <v>536</v>
      </c>
      <c r="C269" s="4">
        <f>[1]Tabung!C8+[1]Kran!C27+[1]Gas!C61</f>
        <v>535000</v>
      </c>
      <c r="D269" s="4">
        <f>[1]Tabung!D8+[1]Kran!D27+[1]Gas!D61</f>
        <v>535000</v>
      </c>
    </row>
    <row r="270" spans="1:4" x14ac:dyDescent="0.25">
      <c r="A270" t="s">
        <v>537</v>
      </c>
      <c r="B270" t="s">
        <v>538</v>
      </c>
      <c r="C270" s="4">
        <f>[1]Tabung!C8+[1]Kran!C27</f>
        <v>485000</v>
      </c>
      <c r="D270" s="4">
        <f>[1]Tabung!D8+[1]Kran!D27</f>
        <v>485000</v>
      </c>
    </row>
    <row r="271" spans="1:4" x14ac:dyDescent="0.25">
      <c r="A271" t="s">
        <v>539</v>
      </c>
      <c r="B271" t="s">
        <v>540</v>
      </c>
      <c r="C271" s="4">
        <f>[1]Tabung!C8+[1]Kran!C27+[1]Gas!C76</f>
        <v>1025000</v>
      </c>
      <c r="D271" s="4">
        <f>[1]Tabung!D8+[1]Kran!D27+[1]Gas!D76</f>
        <v>1025000</v>
      </c>
    </row>
    <row r="272" spans="1:4" x14ac:dyDescent="0.25">
      <c r="A272" t="s">
        <v>541</v>
      </c>
      <c r="B272" t="s">
        <v>542</v>
      </c>
      <c r="C272" s="4">
        <f>[1]Tabung!C8+[1]Gas!C96</f>
        <v>600000</v>
      </c>
      <c r="D272" s="4">
        <f>[1]Tabung!D8+[1]Gas!D96</f>
        <v>600000</v>
      </c>
    </row>
    <row r="273" spans="1:7" x14ac:dyDescent="0.25">
      <c r="A273" t="s">
        <v>543</v>
      </c>
      <c r="B273" t="s">
        <v>544</v>
      </c>
      <c r="C273" s="4">
        <f>[1]Tabung!C8+[1]Gas!C103</f>
        <v>950000</v>
      </c>
      <c r="D273" s="4">
        <f>[1]Tabung!D8+[1]Gas!D103</f>
        <v>950000</v>
      </c>
    </row>
    <row r="274" spans="1:7" x14ac:dyDescent="0.25">
      <c r="A274" t="s">
        <v>545</v>
      </c>
      <c r="B274" t="s">
        <v>546</v>
      </c>
      <c r="C274" s="4">
        <f>[1]Tabung!C8+[1]Gas!C86</f>
        <v>500000</v>
      </c>
      <c r="D274" s="4">
        <f>[1]Tabung!D8+[1]Gas!D86</f>
        <v>525000</v>
      </c>
    </row>
    <row r="275" spans="1:7" x14ac:dyDescent="0.25">
      <c r="A275" t="s">
        <v>547</v>
      </c>
      <c r="B275" t="s">
        <v>548</v>
      </c>
      <c r="C275" s="4">
        <f>[1]Tabung!C8+[1]Gas!C41</f>
        <v>1950000</v>
      </c>
      <c r="D275" s="4">
        <f>[1]Tabung!D8+[1]Gas!D41</f>
        <v>1950000</v>
      </c>
    </row>
    <row r="276" spans="1:7" x14ac:dyDescent="0.25">
      <c r="A276" t="s">
        <v>549</v>
      </c>
      <c r="B276" t="s">
        <v>550</v>
      </c>
      <c r="C276" s="4">
        <f>[1]Tabung!C8</f>
        <v>450000</v>
      </c>
      <c r="D276" s="4">
        <f>[1]Tabung!D8</f>
        <v>450000</v>
      </c>
    </row>
    <row r="277" spans="1:7" x14ac:dyDescent="0.25">
      <c r="A277" t="s">
        <v>551</v>
      </c>
      <c r="B277" t="s">
        <v>552</v>
      </c>
      <c r="C277" s="4">
        <f>[1]Tabung!C8+[1]Gas!C20</f>
        <v>475000</v>
      </c>
      <c r="D277" s="4">
        <f>[1]Tabung!D8+[1]Gas!D20</f>
        <v>475000</v>
      </c>
    </row>
    <row r="278" spans="1:7" x14ac:dyDescent="0.25">
      <c r="A278" t="s">
        <v>553</v>
      </c>
      <c r="B278" t="s">
        <v>554</v>
      </c>
      <c r="C278" s="4">
        <f>[1]Tabung!C8</f>
        <v>450000</v>
      </c>
      <c r="D278" s="4">
        <f>[1]Tabung!D8</f>
        <v>450000</v>
      </c>
    </row>
    <row r="279" spans="1:7" x14ac:dyDescent="0.25">
      <c r="A279" t="s">
        <v>555</v>
      </c>
      <c r="B279" t="s">
        <v>556</v>
      </c>
      <c r="C279" s="4">
        <f>[1]Tabung!C9+[1]Gas!C96</f>
        <v>600000</v>
      </c>
      <c r="D279" s="4">
        <f>[1]Tabung!D9+[1]Gas!D96</f>
        <v>600000</v>
      </c>
    </row>
    <row r="280" spans="1:7" x14ac:dyDescent="0.25">
      <c r="A280" t="s">
        <v>557</v>
      </c>
      <c r="B280" t="s">
        <v>558</v>
      </c>
      <c r="C280" s="4">
        <f>[1]Tabung!C8+[1]Gas!C103</f>
        <v>950000</v>
      </c>
      <c r="D280" s="4">
        <f>[1]Tabung!D8+[1]Gas!D103</f>
        <v>950000</v>
      </c>
    </row>
    <row r="281" spans="1:7" x14ac:dyDescent="0.25">
      <c r="A281" t="s">
        <v>559</v>
      </c>
      <c r="B281" t="s">
        <v>560</v>
      </c>
      <c r="C281" s="4">
        <f>[1]Tabung!C9+[1]Gas!C86</f>
        <v>500000</v>
      </c>
      <c r="D281" s="4">
        <f>[1]Tabung!D9+[1]Gas!D86</f>
        <v>525000</v>
      </c>
    </row>
    <row r="282" spans="1:7" x14ac:dyDescent="0.25">
      <c r="A282" t="s">
        <v>561</v>
      </c>
      <c r="B282" t="s">
        <v>562</v>
      </c>
      <c r="C282" s="4">
        <f>[1]Tabung!C9+[1]Gas!C41</f>
        <v>1950000</v>
      </c>
      <c r="D282" s="4">
        <f>[1]Tabung!D9+[1]Gas!D41</f>
        <v>1950000</v>
      </c>
    </row>
    <row r="283" spans="1:7" x14ac:dyDescent="0.25">
      <c r="A283" t="s">
        <v>563</v>
      </c>
      <c r="B283" t="s">
        <v>564</v>
      </c>
      <c r="C283" s="4">
        <f>[1]Tabung!C9</f>
        <v>450000</v>
      </c>
      <c r="D283" s="4">
        <f>[1]Tabung!D9</f>
        <v>450000</v>
      </c>
      <c r="F283" s="4"/>
    </row>
    <row r="284" spans="1:7" x14ac:dyDescent="0.25">
      <c r="A284" t="s">
        <v>565</v>
      </c>
      <c r="B284" t="s">
        <v>566</v>
      </c>
      <c r="C284" s="4">
        <f>[1]Tabung!C9+[1]Gas!C20</f>
        <v>475000</v>
      </c>
      <c r="D284" s="4">
        <f>[1]Tabung!D9+[1]Gas!D20</f>
        <v>475000</v>
      </c>
      <c r="F284" s="4"/>
    </row>
    <row r="285" spans="1:7" x14ac:dyDescent="0.25">
      <c r="A285" t="s">
        <v>567</v>
      </c>
      <c r="B285" t="s">
        <v>568</v>
      </c>
      <c r="C285" s="4">
        <f>[1]Tabung!C9</f>
        <v>450000</v>
      </c>
      <c r="D285" s="4">
        <f>[1]Tabung!D9</f>
        <v>450000</v>
      </c>
      <c r="F285" s="4"/>
    </row>
    <row r="286" spans="1:7" x14ac:dyDescent="0.25">
      <c r="A286" t="s">
        <v>569</v>
      </c>
      <c r="B286" t="s">
        <v>570</v>
      </c>
      <c r="C286" s="4">
        <f>[1]Tabung!C8+[1]Kran!C29+[1]Gas!C124</f>
        <v>655000</v>
      </c>
      <c r="D286" s="4">
        <f>[1]Tabung!D8+[1]Kran!D29+[1]Gas!D124</f>
        <v>655000</v>
      </c>
      <c r="F286" s="4"/>
    </row>
    <row r="287" spans="1:7" x14ac:dyDescent="0.25">
      <c r="A287" t="s">
        <v>571</v>
      </c>
      <c r="B287" t="s">
        <v>572</v>
      </c>
      <c r="C287" s="4">
        <f>[1]Tabung!C8+[1]Kran!C29+[1]Gas!C124</f>
        <v>655000</v>
      </c>
      <c r="D287" s="4">
        <f>[1]Tabung!D8+[1]Kran!D29+[1]Gas!D124</f>
        <v>655000</v>
      </c>
      <c r="F287" s="4"/>
      <c r="G287" s="4"/>
    </row>
    <row r="288" spans="1:7" x14ac:dyDescent="0.25">
      <c r="A288" t="s">
        <v>573</v>
      </c>
      <c r="B288" t="s">
        <v>574</v>
      </c>
      <c r="C288" s="4">
        <f>[1]Tabung!C7+([1]Kran!C34)</f>
        <v>400000</v>
      </c>
      <c r="D288" s="4">
        <f>[1]Tabung!D7+([1]Kran!D34)</f>
        <v>400000</v>
      </c>
      <c r="F288" s="4"/>
    </row>
    <row r="289" spans="1:6" x14ac:dyDescent="0.25">
      <c r="A289" t="s">
        <v>575</v>
      </c>
      <c r="B289" t="s">
        <v>576</v>
      </c>
      <c r="C289" s="4">
        <f>[1]Tabung!C9+[1]Gas!C32</f>
        <v>475000</v>
      </c>
      <c r="D289" s="4">
        <f>[1]Tabung!D9+[1]Gas!D32</f>
        <v>500000</v>
      </c>
      <c r="F289" s="4"/>
    </row>
    <row r="290" spans="1:6" x14ac:dyDescent="0.25">
      <c r="A290" t="s">
        <v>577</v>
      </c>
      <c r="B290" t="s">
        <v>578</v>
      </c>
      <c r="C290" s="4">
        <f>[1]Tabung!C15+[1]Kran!C27+[1]Gas!C63</f>
        <v>780000</v>
      </c>
      <c r="D290" s="4">
        <f>[1]Tabung!D15+[1]Kran!D27+[1]Gas!D63</f>
        <v>800000</v>
      </c>
      <c r="F290" s="4"/>
    </row>
    <row r="291" spans="1:6" x14ac:dyDescent="0.25">
      <c r="A291" t="s">
        <v>579</v>
      </c>
      <c r="B291" t="s">
        <v>580</v>
      </c>
      <c r="C291" s="4">
        <f>[1]Tabung!C15+[1]Kran!C27</f>
        <v>710000</v>
      </c>
      <c r="D291" s="4">
        <f>[1]Tabung!D15+[1]Kran!D27</f>
        <v>730000</v>
      </c>
      <c r="F291" s="4"/>
    </row>
    <row r="292" spans="1:6" x14ac:dyDescent="0.25">
      <c r="A292" t="s">
        <v>581</v>
      </c>
      <c r="B292" t="s">
        <v>582</v>
      </c>
      <c r="C292" s="4">
        <f>[1]Tabung!C15+[1]Gas!C42</f>
        <v>2925000</v>
      </c>
      <c r="D292" s="4">
        <f>[1]Tabung!D15+[1]Gas!D42</f>
        <v>2945000</v>
      </c>
    </row>
    <row r="293" spans="1:6" x14ac:dyDescent="0.25">
      <c r="A293" t="s">
        <v>583</v>
      </c>
      <c r="B293" t="s">
        <v>584</v>
      </c>
      <c r="C293" s="4">
        <f>[1]Tabung!C15+[1]Gas!C26</f>
        <v>825000</v>
      </c>
      <c r="D293" s="4">
        <f>[1]Tabung!D15+[1]Gas!D26</f>
        <v>845000</v>
      </c>
    </row>
    <row r="294" spans="1:6" x14ac:dyDescent="0.25">
      <c r="A294" t="s">
        <v>585</v>
      </c>
      <c r="B294" t="s">
        <v>586</v>
      </c>
      <c r="C294" s="4">
        <f>[1]Tabung!C15+[1]Kran!C29+[1]Gas!C133</f>
        <v>740000</v>
      </c>
      <c r="D294" s="4">
        <f>[1]Tabung!D15+[1]Kran!D29+[1]Gas!D133</f>
        <v>760000</v>
      </c>
    </row>
    <row r="295" spans="1:6" x14ac:dyDescent="0.25">
      <c r="A295" t="s">
        <v>587</v>
      </c>
      <c r="B295" t="s">
        <v>588</v>
      </c>
      <c r="C295" s="4">
        <f>[1]Tabung!C15+[1]Kran!C29+[1]Gas!C125</f>
        <v>950000</v>
      </c>
      <c r="D295" s="4">
        <f>[1]Tabung!D15+[1]Kran!D29+[1]Gas!D125</f>
        <v>970000</v>
      </c>
    </row>
    <row r="296" spans="1:6" x14ac:dyDescent="0.25">
      <c r="A296" t="s">
        <v>589</v>
      </c>
      <c r="B296" t="s">
        <v>590</v>
      </c>
      <c r="C296" s="4">
        <f>[1]Tabung!C15+[1]Kran!C27+[1]Gas!C62</f>
        <v>760000</v>
      </c>
      <c r="D296" s="4">
        <f>[1]Tabung!D15+[1]Kran!D27+[1]Gas!D62</f>
        <v>790000</v>
      </c>
    </row>
    <row r="297" spans="1:6" x14ac:dyDescent="0.25">
      <c r="A297" t="s">
        <v>591</v>
      </c>
      <c r="B297" t="s">
        <v>592</v>
      </c>
      <c r="C297" s="4">
        <f>[1]Tabung!C15+[1]Kran!C27+[1]Gas!C50</f>
        <v>755000</v>
      </c>
      <c r="D297" s="4">
        <f>[1]Tabung!D15+[1]Kran!D27+[1]Gas!D50</f>
        <v>730000</v>
      </c>
    </row>
    <row r="298" spans="1:6" x14ac:dyDescent="0.25">
      <c r="A298" t="s">
        <v>593</v>
      </c>
      <c r="B298" t="s">
        <v>594</v>
      </c>
      <c r="C298" s="4">
        <f>[1]Tabung!C15+[1]Kran!C27+[1]Gas!C77</f>
        <v>1250000</v>
      </c>
      <c r="D298" s="4">
        <f>[1]Tabung!D15+[1]Kran!D27+[1]Gas!D77</f>
        <v>1270000</v>
      </c>
    </row>
    <row r="299" spans="1:6" x14ac:dyDescent="0.25">
      <c r="A299" t="s">
        <v>595</v>
      </c>
      <c r="B299" t="s">
        <v>596</v>
      </c>
      <c r="C299" s="4">
        <f>[1]Tabung!C16</f>
        <v>675000</v>
      </c>
      <c r="D299" s="4">
        <f>[1]Tabung!D16</f>
        <v>695000</v>
      </c>
    </row>
    <row r="300" spans="1:6" x14ac:dyDescent="0.25">
      <c r="A300" t="s">
        <v>597</v>
      </c>
      <c r="B300" t="s">
        <v>598</v>
      </c>
      <c r="C300" s="4">
        <f>[1]Tabung!C15+[1]Gas!C97</f>
        <v>825000</v>
      </c>
      <c r="D300" s="4">
        <f>[1]Tabung!D15+[1]Gas!D97</f>
        <v>845000</v>
      </c>
    </row>
    <row r="301" spans="1:6" x14ac:dyDescent="0.25">
      <c r="A301" t="s">
        <v>599</v>
      </c>
      <c r="B301" t="s">
        <v>600</v>
      </c>
      <c r="C301" s="4">
        <f>[1]Tabung!C15+[1]Gas!C104</f>
        <v>1175000</v>
      </c>
      <c r="D301" s="4">
        <f>[1]Tabung!D15+[1]Gas!D104</f>
        <v>1195000</v>
      </c>
    </row>
    <row r="302" spans="1:6" x14ac:dyDescent="0.25">
      <c r="A302" t="s">
        <v>601</v>
      </c>
      <c r="B302" t="s">
        <v>602</v>
      </c>
      <c r="C302" s="4">
        <f>[1]Tabung!C15+[1]Gas!C86</f>
        <v>725000</v>
      </c>
      <c r="D302" s="4">
        <f>[1]Tabung!D15+[1]Gas!D86</f>
        <v>770000</v>
      </c>
    </row>
    <row r="303" spans="1:6" x14ac:dyDescent="0.25">
      <c r="A303" t="s">
        <v>603</v>
      </c>
      <c r="B303" t="s">
        <v>604</v>
      </c>
      <c r="C303" s="4">
        <f>[1]Tabung!C15+[1]Kran!C29+[1]Gas!C125</f>
        <v>950000</v>
      </c>
      <c r="D303" s="4">
        <f>[1]Tabung!D15+[1]Kran!D29+[1]Gas!D125</f>
        <v>970000</v>
      </c>
    </row>
    <row r="304" spans="1:6" x14ac:dyDescent="0.25">
      <c r="A304" t="s">
        <v>605</v>
      </c>
      <c r="B304" t="s">
        <v>606</v>
      </c>
      <c r="C304" s="4">
        <f>[1]Tabung!C15</f>
        <v>675000</v>
      </c>
      <c r="D304" s="4">
        <f>[1]Tabung!D15</f>
        <v>695000</v>
      </c>
      <c r="E304" s="4"/>
    </row>
    <row r="305" spans="1:4" x14ac:dyDescent="0.25">
      <c r="A305" t="s">
        <v>607</v>
      </c>
      <c r="B305" t="s">
        <v>608</v>
      </c>
      <c r="C305" s="4">
        <f>[1]Tabung!C15+[1]Gas!C20</f>
        <v>700000</v>
      </c>
      <c r="D305" s="4">
        <f>[1]Tabung!D15+[1]Gas!D20</f>
        <v>720000</v>
      </c>
    </row>
    <row r="306" spans="1:4" x14ac:dyDescent="0.25">
      <c r="A306" t="s">
        <v>609</v>
      </c>
      <c r="B306" t="s">
        <v>610</v>
      </c>
      <c r="C306" s="4">
        <f>[1]Tabung!C15</f>
        <v>675000</v>
      </c>
      <c r="D306" s="4">
        <f>[1]Tabung!D15</f>
        <v>695000</v>
      </c>
    </row>
    <row r="307" spans="1:4" x14ac:dyDescent="0.25">
      <c r="A307" t="s">
        <v>611</v>
      </c>
      <c r="B307" t="s">
        <v>612</v>
      </c>
      <c r="C307" s="4">
        <f>[1]Tabung!C16</f>
        <v>675000</v>
      </c>
      <c r="D307" s="4">
        <f>[1]Tabung!D16</f>
        <v>695000</v>
      </c>
    </row>
    <row r="308" spans="1:4" x14ac:dyDescent="0.25">
      <c r="A308" t="s">
        <v>613</v>
      </c>
      <c r="B308" t="s">
        <v>614</v>
      </c>
      <c r="C308" s="4">
        <f>[1]Tabung!C16+[1]Gas!C20</f>
        <v>700000</v>
      </c>
      <c r="D308" s="4">
        <f>[1]Tabung!D16+[1]Gas!D20</f>
        <v>720000</v>
      </c>
    </row>
    <row r="309" spans="1:4" x14ac:dyDescent="0.25">
      <c r="A309" t="s">
        <v>615</v>
      </c>
      <c r="B309" t="s">
        <v>616</v>
      </c>
      <c r="C309" s="4">
        <f>[1]Tabung!C16</f>
        <v>675000</v>
      </c>
      <c r="D309" s="4">
        <f>[1]Tabung!D16</f>
        <v>695000</v>
      </c>
    </row>
    <row r="310" spans="1:4" x14ac:dyDescent="0.25">
      <c r="A310" t="s">
        <v>617</v>
      </c>
      <c r="B310" t="s">
        <v>618</v>
      </c>
      <c r="C310" s="4">
        <f>[1]Tabung!C15+[1]Kran!C29</f>
        <v>740000</v>
      </c>
      <c r="D310" s="4">
        <f>[1]Tabung!D15+[1]Kran!D29</f>
        <v>760000</v>
      </c>
    </row>
    <row r="311" spans="1:4" x14ac:dyDescent="0.25">
      <c r="A311" t="s">
        <v>619</v>
      </c>
      <c r="B311" t="s">
        <v>604</v>
      </c>
      <c r="C311" s="4">
        <f>[1]Tabung!C15+[1]Kran!C29+[1]Gas!C125</f>
        <v>950000</v>
      </c>
      <c r="D311" s="4">
        <f>[1]Tabung!D15+[1]Kran!D29+[1]Gas!D125</f>
        <v>970000</v>
      </c>
    </row>
    <row r="312" spans="1:4" x14ac:dyDescent="0.25">
      <c r="A312" t="s">
        <v>620</v>
      </c>
      <c r="B312" t="s">
        <v>621</v>
      </c>
      <c r="C312" s="4">
        <f>[1]Tabung!C15+([1]Kran!C34)</f>
        <v>625000</v>
      </c>
      <c r="D312" s="4">
        <f>[1]Tabung!D15+([1]Kran!D34)</f>
        <v>645000</v>
      </c>
    </row>
    <row r="313" spans="1:4" x14ac:dyDescent="0.25">
      <c r="A313" t="s">
        <v>622</v>
      </c>
      <c r="B313" t="s">
        <v>623</v>
      </c>
      <c r="C313" s="4">
        <f>[1]Tabung!C25+[1]Kran!C22</f>
        <v>2295000</v>
      </c>
      <c r="D313" s="4">
        <f>[1]Tabung!D25+[1]Kran!D22</f>
        <v>2345000</v>
      </c>
    </row>
    <row r="314" spans="1:4" x14ac:dyDescent="0.25">
      <c r="A314" t="s">
        <v>624</v>
      </c>
      <c r="B314" t="s">
        <v>625</v>
      </c>
      <c r="C314" s="4">
        <f>[1]Tabung!C25+[1]Kran!C9</f>
        <v>2190000</v>
      </c>
      <c r="D314" s="4">
        <f>[1]Tabung!D25+[1]Kran!D9</f>
        <v>2240000</v>
      </c>
    </row>
    <row r="315" spans="1:4" x14ac:dyDescent="0.25">
      <c r="A315" t="s">
        <v>626</v>
      </c>
      <c r="B315" t="s">
        <v>627</v>
      </c>
      <c r="C315" s="4">
        <f>[1]Tabung!C25+[1]Kran!C9+[1]Gas!C23</f>
        <v>2740000</v>
      </c>
      <c r="D315" s="4">
        <f>[1]Tabung!D25+[1]Kran!D9+[1]Gas!D23</f>
        <v>2840000</v>
      </c>
    </row>
    <row r="316" spans="1:4" x14ac:dyDescent="0.25">
      <c r="A316" t="s">
        <v>628</v>
      </c>
      <c r="B316" t="s">
        <v>629</v>
      </c>
      <c r="C316" s="4">
        <f>[1]Tabung!C25+[1]Kran!C9+[1]Gas!C19</f>
        <v>2740000</v>
      </c>
      <c r="D316" s="4">
        <f>[1]Tabung!D25+[1]Kran!D9+[1]Gas!D19</f>
        <v>2840000</v>
      </c>
    </row>
    <row r="317" spans="1:4" x14ac:dyDescent="0.25">
      <c r="A317" t="s">
        <v>630</v>
      </c>
      <c r="B317" t="s">
        <v>631</v>
      </c>
      <c r="C317" s="4">
        <f>[1]Tabung!C25</f>
        <v>2075000</v>
      </c>
      <c r="D317" s="4">
        <f>[1]Tabung!D25</f>
        <v>2125000</v>
      </c>
    </row>
    <row r="318" spans="1:4" x14ac:dyDescent="0.25">
      <c r="A318" t="s">
        <v>632</v>
      </c>
      <c r="B318" t="s">
        <v>633</v>
      </c>
      <c r="C318" s="4">
        <f>[1]Tabung!C25+[1]Kran!C9</f>
        <v>2190000</v>
      </c>
      <c r="D318" s="4">
        <f>[1]Tabung!D25+[1]Kran!D9</f>
        <v>2240000</v>
      </c>
    </row>
    <row r="319" spans="1:4" x14ac:dyDescent="0.25">
      <c r="A319" t="s">
        <v>634</v>
      </c>
      <c r="B319" t="s">
        <v>635</v>
      </c>
      <c r="C319" s="4">
        <f>[1]Tabung!C25</f>
        <v>2075000</v>
      </c>
      <c r="D319" s="4">
        <f>[1]Tabung!D25</f>
        <v>2125000</v>
      </c>
    </row>
    <row r="320" spans="1:4" x14ac:dyDescent="0.25">
      <c r="A320" t="s">
        <v>636</v>
      </c>
      <c r="B320" t="s">
        <v>637</v>
      </c>
      <c r="C320" s="4">
        <f>[1]Tabung!C26+[1]Kran!C13</f>
        <v>2540000</v>
      </c>
      <c r="D320" s="4">
        <f>[1]Tabung!D26+[1]Kran!D13</f>
        <v>2590000</v>
      </c>
    </row>
    <row r="321" spans="1:4" x14ac:dyDescent="0.25">
      <c r="A321" t="s">
        <v>638</v>
      </c>
      <c r="B321" t="s">
        <v>639</v>
      </c>
      <c r="C321" s="4">
        <f>[1]Tabung!C26+[1]Kran!C13+[1]Gas!C83</f>
        <v>4940000</v>
      </c>
      <c r="D321" s="4">
        <f>[1]Tabung!D26+[1]Kran!D13+[1]Gas!D83</f>
        <v>4990000</v>
      </c>
    </row>
    <row r="322" spans="1:4" x14ac:dyDescent="0.25">
      <c r="A322" t="s">
        <v>640</v>
      </c>
      <c r="B322" t="s">
        <v>641</v>
      </c>
      <c r="C322" s="4">
        <f>[1]Tabung!C26+[1]Gas!C100</f>
        <v>2575000</v>
      </c>
      <c r="D322" s="4">
        <f>[1]Tabung!D26+[1]Gas!D100</f>
        <v>2625000</v>
      </c>
    </row>
    <row r="323" spans="1:4" x14ac:dyDescent="0.25">
      <c r="A323" t="s">
        <v>642</v>
      </c>
      <c r="B323" t="s">
        <v>643</v>
      </c>
      <c r="C323" s="4">
        <f>[1]Tabung!C26+[1]Gas!C107</f>
        <v>2925000</v>
      </c>
      <c r="D323" s="4">
        <f>[1]Tabung!D26+[1]Gas!D107</f>
        <v>2975000</v>
      </c>
    </row>
    <row r="324" spans="1:4" x14ac:dyDescent="0.25">
      <c r="A324" t="s">
        <v>644</v>
      </c>
      <c r="B324" t="s">
        <v>645</v>
      </c>
      <c r="C324" s="4">
        <f>[1]Tabung!C26+[1]Gas!C93</f>
        <v>2575000</v>
      </c>
      <c r="D324" s="4">
        <f>[1]Tabung!D26+[1]Gas!D93</f>
        <v>2650000</v>
      </c>
    </row>
    <row r="325" spans="1:4" x14ac:dyDescent="0.25">
      <c r="A325" t="s">
        <v>646</v>
      </c>
      <c r="B325" t="s">
        <v>647</v>
      </c>
      <c r="C325" s="4">
        <f>[1]Tabung!C26</f>
        <v>2425000</v>
      </c>
      <c r="D325" s="4">
        <f>[1]Tabung!D26</f>
        <v>2475000</v>
      </c>
    </row>
    <row r="326" spans="1:4" x14ac:dyDescent="0.25">
      <c r="A326" t="s">
        <v>648</v>
      </c>
      <c r="B326" t="s">
        <v>649</v>
      </c>
      <c r="C326" s="4">
        <f>[1]Tabung!C26+[1]Gas!C31</f>
        <v>2475000</v>
      </c>
      <c r="D326" s="4">
        <f>[1]Tabung!D26+[1]Gas!D31</f>
        <v>2535000</v>
      </c>
    </row>
    <row r="327" spans="1:4" x14ac:dyDescent="0.25">
      <c r="A327" t="s">
        <v>650</v>
      </c>
      <c r="B327" t="s">
        <v>651</v>
      </c>
      <c r="C327" s="4">
        <f>[1]Tabung!C26+[1]Gas!C18</f>
        <v>2470000</v>
      </c>
      <c r="D327" s="4">
        <f>[1]Tabung!D26+[1]Gas!D18</f>
        <v>2520000</v>
      </c>
    </row>
    <row r="328" spans="1:4" x14ac:dyDescent="0.25">
      <c r="A328" t="s">
        <v>652</v>
      </c>
      <c r="B328" t="s">
        <v>653</v>
      </c>
      <c r="C328" s="4">
        <f>[1]Tabung!C26+[1]Kran!C20+[1]Gas!C143</f>
        <v>2570000</v>
      </c>
      <c r="D328" s="4">
        <f>[1]Tabung!D26+[1]Kran!D20+[1]Gas!D143</f>
        <v>2620000</v>
      </c>
    </row>
    <row r="329" spans="1:4" x14ac:dyDescent="0.25">
      <c r="A329" t="s">
        <v>654</v>
      </c>
      <c r="B329" t="s">
        <v>655</v>
      </c>
      <c r="C329" s="4">
        <f>[1]Tabung!C26+[1]Kran!C20+[1]Gas!C129</f>
        <v>2745000</v>
      </c>
      <c r="D329" s="4">
        <f>[1]Tabung!D26+[1]Kran!D20+[1]Gas!D129</f>
        <v>2820000</v>
      </c>
    </row>
    <row r="330" spans="1:4" x14ac:dyDescent="0.25">
      <c r="A330" t="s">
        <v>656</v>
      </c>
      <c r="B330" t="s">
        <v>657</v>
      </c>
      <c r="C330" s="4">
        <f>[1]Tabung!C26+[1]Kran!C13</f>
        <v>2540000</v>
      </c>
      <c r="D330" s="4">
        <f>[1]Tabung!D26+[1]Kran!D13</f>
        <v>2590000</v>
      </c>
    </row>
    <row r="331" spans="1:4" x14ac:dyDescent="0.25">
      <c r="A331" t="s">
        <v>658</v>
      </c>
      <c r="B331" t="s">
        <v>659</v>
      </c>
      <c r="C331" s="4">
        <f>[1]Tabung!C26+[1]Gas!C46</f>
        <v>12425000</v>
      </c>
      <c r="D331" s="4">
        <f>[1]Tabung!D26+[1]Gas!D46</f>
        <v>5975000</v>
      </c>
    </row>
    <row r="332" spans="1:4" x14ac:dyDescent="0.25">
      <c r="A332" t="s">
        <v>660</v>
      </c>
      <c r="B332" t="s">
        <v>661</v>
      </c>
      <c r="C332" s="4">
        <f>[1]Tabung!C25+[1]Kran!C30</f>
        <v>2215000</v>
      </c>
      <c r="D332" s="4">
        <f>[1]Tabung!D25+[1]Kran!D30</f>
        <v>2265000</v>
      </c>
    </row>
    <row r="333" spans="1:4" x14ac:dyDescent="0.25">
      <c r="A333" t="s">
        <v>662</v>
      </c>
      <c r="B333" t="s">
        <v>663</v>
      </c>
      <c r="C333" s="4">
        <f>[1]Tabung!C25+[1]Kran!C9+[1]Gas!C46</f>
        <v>12190000</v>
      </c>
      <c r="D333" s="4">
        <f>[1]Tabung!D25+[1]Kran!D9+[1]Gas!D46</f>
        <v>5740000</v>
      </c>
    </row>
    <row r="334" spans="1:4" x14ac:dyDescent="0.25">
      <c r="A334" t="s">
        <v>664</v>
      </c>
      <c r="B334" t="s">
        <v>665</v>
      </c>
      <c r="C334" s="4">
        <f>[1]Tabung!C25+[1]Kran!C9+[1]Gas!C23</f>
        <v>2740000</v>
      </c>
      <c r="D334" s="4">
        <f>[1]Tabung!D25+[1]Kran!D9+[1]Gas!D23</f>
        <v>2840000</v>
      </c>
    </row>
    <row r="335" spans="1:4" x14ac:dyDescent="0.25">
      <c r="A335" t="s">
        <v>666</v>
      </c>
      <c r="B335" t="s">
        <v>667</v>
      </c>
      <c r="C335" s="4">
        <f>[1]Tabung!C26+[1]Kran!C20</f>
        <v>2570000</v>
      </c>
      <c r="D335" s="4">
        <f>[1]Tabung!D26+[1]Kran!D20</f>
        <v>2620000</v>
      </c>
    </row>
    <row r="336" spans="1:4" x14ac:dyDescent="0.25">
      <c r="A336" t="s">
        <v>668</v>
      </c>
      <c r="B336" t="s">
        <v>669</v>
      </c>
      <c r="C336" s="4">
        <f>[1]Tabung!C26+[1]Kran!C13+[1]Gas!C73</f>
        <v>2900000</v>
      </c>
      <c r="D336" s="4">
        <f>[1]Tabung!D26+[1]Kran!D13+[1]Gas!D73</f>
        <v>2950000</v>
      </c>
    </row>
    <row r="337" spans="1:4" x14ac:dyDescent="0.25">
      <c r="A337" t="s">
        <v>670</v>
      </c>
      <c r="B337" t="s">
        <v>671</v>
      </c>
      <c r="C337" s="4">
        <f>[1]Tabung!C17+[1]Kran!C27+[1]Gas!C78</f>
        <v>1325000</v>
      </c>
      <c r="D337" s="4">
        <f>[1]Tabung!D17+[1]Kran!D27+[1]Gas!D78</f>
        <v>1345000</v>
      </c>
    </row>
    <row r="338" spans="1:4" x14ac:dyDescent="0.25">
      <c r="A338" t="s">
        <v>672</v>
      </c>
      <c r="B338" t="s">
        <v>673</v>
      </c>
      <c r="C338" s="4">
        <f>[1]Tabung!C17+[1]Gas!C98</f>
        <v>900000</v>
      </c>
      <c r="D338" s="4">
        <f>[1]Tabung!D17+[1]Gas!D98</f>
        <v>920000</v>
      </c>
    </row>
    <row r="339" spans="1:4" x14ac:dyDescent="0.25">
      <c r="A339" t="s">
        <v>674</v>
      </c>
      <c r="B339" t="s">
        <v>675</v>
      </c>
      <c r="C339" s="4">
        <f>[1]Tabung!C17+[1]Gas!C105</f>
        <v>1250000</v>
      </c>
      <c r="D339" s="4">
        <f>[1]Tabung!D17+[1]Gas!D105</f>
        <v>1270000</v>
      </c>
    </row>
    <row r="340" spans="1:4" x14ac:dyDescent="0.25">
      <c r="A340" t="s">
        <v>676</v>
      </c>
      <c r="B340" t="s">
        <v>677</v>
      </c>
      <c r="C340" s="4">
        <f>[1]Tabung!C17+[1]Gas!C88</f>
        <v>800000</v>
      </c>
      <c r="D340" s="4">
        <f>[1]Tabung!D17+[1]Gas!D88</f>
        <v>845000</v>
      </c>
    </row>
    <row r="341" spans="1:4" x14ac:dyDescent="0.25">
      <c r="A341" t="s">
        <v>678</v>
      </c>
      <c r="B341" t="s">
        <v>679</v>
      </c>
      <c r="C341" s="4">
        <f>[1]Tabung!C17</f>
        <v>750000</v>
      </c>
      <c r="D341" s="4">
        <f>[1]Tabung!D17</f>
        <v>770000</v>
      </c>
    </row>
    <row r="342" spans="1:4" x14ac:dyDescent="0.25">
      <c r="A342" t="s">
        <v>680</v>
      </c>
      <c r="B342" t="s">
        <v>681</v>
      </c>
      <c r="C342" s="4">
        <f>[1]Tabung!C17+[1]Gas!C20</f>
        <v>775000</v>
      </c>
      <c r="D342" s="4">
        <f>[1]Tabung!D17+[1]Gas!D20</f>
        <v>795000</v>
      </c>
    </row>
    <row r="343" spans="1:4" x14ac:dyDescent="0.25">
      <c r="A343" t="s">
        <v>682</v>
      </c>
      <c r="B343" t="s">
        <v>683</v>
      </c>
      <c r="C343" s="4">
        <f>[1]Tabung!C17</f>
        <v>750000</v>
      </c>
      <c r="D343" s="4">
        <f>[1]Tabung!D17</f>
        <v>770000</v>
      </c>
    </row>
    <row r="344" spans="1:4" x14ac:dyDescent="0.25">
      <c r="A344" t="s">
        <v>684</v>
      </c>
      <c r="B344" t="s">
        <v>685</v>
      </c>
      <c r="C344" s="4">
        <f>[1]Tabung!C17+[1]Kran!C27+[1]Gas!C78</f>
        <v>1325000</v>
      </c>
      <c r="D344" s="4">
        <f>[1]Tabung!D17+[1]Kran!D27+[1]Gas!D78</f>
        <v>1345000</v>
      </c>
    </row>
    <row r="345" spans="1:4" x14ac:dyDescent="0.25">
      <c r="A345" t="s">
        <v>686</v>
      </c>
      <c r="B345" t="s">
        <v>687</v>
      </c>
      <c r="C345" s="4">
        <f>[1]Tabung!C17+[1]Kran!C27+[1]Gas!C64</f>
        <v>875000</v>
      </c>
      <c r="D345" s="4">
        <f>[1]Tabung!D17+[1]Kran!D27+[1]Gas!D64</f>
        <v>895000</v>
      </c>
    </row>
    <row r="346" spans="1:4" x14ac:dyDescent="0.25">
      <c r="A346" t="s">
        <v>688</v>
      </c>
      <c r="B346" t="s">
        <v>689</v>
      </c>
      <c r="C346" s="4">
        <f>[1]Tabung!C17+[1]Kran!C27</f>
        <v>785000</v>
      </c>
      <c r="D346" s="4">
        <f>[1]Tabung!D17+[1]Kran!D27</f>
        <v>805000</v>
      </c>
    </row>
    <row r="347" spans="1:4" x14ac:dyDescent="0.25">
      <c r="A347" t="s">
        <v>690</v>
      </c>
      <c r="B347" t="s">
        <v>691</v>
      </c>
      <c r="C347" s="4">
        <f>[1]Tabung!C17+[1]Gas!C43</f>
        <v>3750000</v>
      </c>
      <c r="D347" s="4">
        <f>[1]Tabung!D17+[1]Gas!D43</f>
        <v>3770000</v>
      </c>
    </row>
    <row r="348" spans="1:4" x14ac:dyDescent="0.25">
      <c r="A348" t="s">
        <v>692</v>
      </c>
      <c r="B348" t="s">
        <v>693</v>
      </c>
      <c r="C348" s="4">
        <f>[1]Tabung!C17+[1]Gas!C43</f>
        <v>3750000</v>
      </c>
      <c r="D348" s="4">
        <f>[1]Tabung!D17+[1]Gas!D43</f>
        <v>3770000</v>
      </c>
    </row>
    <row r="349" spans="1:4" x14ac:dyDescent="0.25">
      <c r="A349" t="s">
        <v>694</v>
      </c>
      <c r="B349" t="s">
        <v>695</v>
      </c>
      <c r="C349" s="4">
        <f>[1]Tabung!C17+[1]Kran!C29+[1]Gas!C133</f>
        <v>815000</v>
      </c>
      <c r="D349" s="4">
        <f>[1]Tabung!D17+[1]Kran!D29+[1]Gas!D133</f>
        <v>835000</v>
      </c>
    </row>
    <row r="350" spans="1:4" x14ac:dyDescent="0.25">
      <c r="A350" t="s">
        <v>696</v>
      </c>
      <c r="B350" t="s">
        <v>697</v>
      </c>
      <c r="C350" s="4">
        <f>[1]Tabung!C17+[1]Kran!C29+[1]Gas!C139</f>
        <v>1315000</v>
      </c>
      <c r="D350" s="4">
        <f>[1]Tabung!D17+[1]Kran!D29+[1]Gas!D139</f>
        <v>1335000</v>
      </c>
    </row>
    <row r="351" spans="1:4" x14ac:dyDescent="0.25">
      <c r="A351" t="s">
        <v>698</v>
      </c>
      <c r="B351" t="s">
        <v>699</v>
      </c>
      <c r="C351" s="4">
        <f>[1]Tabung!C17+[1]Gas!C98</f>
        <v>900000</v>
      </c>
      <c r="D351" s="4">
        <f>[1]Tabung!D17+[1]Gas!D98</f>
        <v>920000</v>
      </c>
    </row>
    <row r="352" spans="1:4" x14ac:dyDescent="0.25">
      <c r="A352" t="s">
        <v>700</v>
      </c>
      <c r="B352" t="s">
        <v>701</v>
      </c>
      <c r="C352" s="4">
        <f>[1]Tabung!C17+[1]Gas!C105</f>
        <v>1250000</v>
      </c>
      <c r="D352" s="4">
        <f>[1]Tabung!D17+[1]Gas!D105</f>
        <v>1270000</v>
      </c>
    </row>
    <row r="353" spans="1:4" x14ac:dyDescent="0.25">
      <c r="A353" t="s">
        <v>702</v>
      </c>
      <c r="B353" t="s">
        <v>703</v>
      </c>
      <c r="C353" s="4">
        <f>[1]Tabung!C17+[1]Gas!C88</f>
        <v>800000</v>
      </c>
      <c r="D353" s="4">
        <f>[1]Tabung!D17+[1]Gas!D88</f>
        <v>845000</v>
      </c>
    </row>
    <row r="354" spans="1:4" x14ac:dyDescent="0.25">
      <c r="A354" t="s">
        <v>704</v>
      </c>
      <c r="B354" t="s">
        <v>705</v>
      </c>
      <c r="C354" s="4">
        <f>[1]Tabung!C17</f>
        <v>750000</v>
      </c>
      <c r="D354" s="4">
        <f>[1]Tabung!D17</f>
        <v>770000</v>
      </c>
    </row>
    <row r="355" spans="1:4" x14ac:dyDescent="0.25">
      <c r="A355" t="s">
        <v>706</v>
      </c>
      <c r="B355" t="s">
        <v>707</v>
      </c>
      <c r="C355" s="4">
        <f>[1]Tabung!C17+[1]Gas!C20</f>
        <v>775000</v>
      </c>
      <c r="D355" s="4">
        <f>[1]Tabung!D17+[1]Gas!D20</f>
        <v>795000</v>
      </c>
    </row>
    <row r="356" spans="1:4" x14ac:dyDescent="0.25">
      <c r="A356" t="s">
        <v>708</v>
      </c>
      <c r="B356" t="s">
        <v>709</v>
      </c>
      <c r="C356" s="4">
        <f>[1]Tabung!C17+[1]Gas!C26</f>
        <v>900000</v>
      </c>
      <c r="D356" s="4">
        <f>[1]Tabung!D17+[1]Gas!D26</f>
        <v>920000</v>
      </c>
    </row>
    <row r="357" spans="1:4" x14ac:dyDescent="0.25">
      <c r="A357" t="s">
        <v>710</v>
      </c>
      <c r="B357" t="s">
        <v>711</v>
      </c>
      <c r="C357" s="4">
        <f>[1]Tabung!C17</f>
        <v>750000</v>
      </c>
      <c r="D357" s="4">
        <f>[1]Tabung!D17</f>
        <v>770000</v>
      </c>
    </row>
    <row r="358" spans="1:4" x14ac:dyDescent="0.25">
      <c r="A358" t="s">
        <v>712</v>
      </c>
      <c r="B358" t="s">
        <v>713</v>
      </c>
      <c r="C358" s="4">
        <f>[1]Tabung!C17+([1]Kran!C34)</f>
        <v>700000</v>
      </c>
      <c r="D358" s="4">
        <f>[1]Tabung!D17+([1]Kran!D34)</f>
        <v>720000</v>
      </c>
    </row>
    <row r="359" spans="1:4" x14ac:dyDescent="0.25">
      <c r="A359" t="s">
        <v>714</v>
      </c>
      <c r="B359" t="s">
        <v>715</v>
      </c>
      <c r="C359" s="4">
        <f>[1]Tabung!C18+[1]Gas!C89</f>
        <v>1270000</v>
      </c>
      <c r="D359" s="4">
        <f>[1]Tabung!D18+[1]Gas!D89</f>
        <v>1325000</v>
      </c>
    </row>
    <row r="360" spans="1:4" x14ac:dyDescent="0.25">
      <c r="A360" t="s">
        <v>716</v>
      </c>
      <c r="B360" t="s">
        <v>717</v>
      </c>
      <c r="C360" s="4">
        <f>[1]Tabung!C18+[1]Kran!C27+[1]Gas!C65</f>
        <v>1370000</v>
      </c>
      <c r="D360" s="4">
        <f>[1]Tabung!D18+[1]Kran!D27+[1]Gas!D65</f>
        <v>1360000</v>
      </c>
    </row>
    <row r="361" spans="1:4" x14ac:dyDescent="0.25">
      <c r="A361" t="s">
        <v>718</v>
      </c>
      <c r="B361" t="s">
        <v>719</v>
      </c>
      <c r="C361" s="4">
        <f>[1]Tabung!C18+[1]Kran!C27</f>
        <v>1235000</v>
      </c>
      <c r="D361" s="4">
        <f>[1]Tabung!D18+[1]Kran!D27</f>
        <v>1260000</v>
      </c>
    </row>
    <row r="362" spans="1:4" x14ac:dyDescent="0.25">
      <c r="A362" t="s">
        <v>720</v>
      </c>
      <c r="B362" t="s">
        <v>721</v>
      </c>
      <c r="C362" s="4">
        <f>[1]Tabung!C18+[1]Gas!C98</f>
        <v>1350000</v>
      </c>
      <c r="D362" s="4">
        <f>[1]Tabung!D18+[1]Gas!D98</f>
        <v>1375000</v>
      </c>
    </row>
    <row r="363" spans="1:4" x14ac:dyDescent="0.25">
      <c r="A363" t="s">
        <v>722</v>
      </c>
      <c r="B363" t="s">
        <v>723</v>
      </c>
      <c r="C363" s="4">
        <f>[1]Tabung!C18+[1]Gas!C105</f>
        <v>1700000</v>
      </c>
      <c r="D363" s="4">
        <f>[1]Tabung!D18+[1]Gas!D105</f>
        <v>1725000</v>
      </c>
    </row>
    <row r="364" spans="1:4" x14ac:dyDescent="0.25">
      <c r="A364" t="s">
        <v>724</v>
      </c>
      <c r="B364" t="s">
        <v>725</v>
      </c>
      <c r="C364" s="4">
        <f>[1]Tabung!C18+[1]Gas!C89</f>
        <v>1270000</v>
      </c>
      <c r="D364" s="4">
        <f>[1]Tabung!D18+[1]Gas!D89</f>
        <v>1325000</v>
      </c>
    </row>
    <row r="365" spans="1:4" x14ac:dyDescent="0.25">
      <c r="A365" t="s">
        <v>726</v>
      </c>
      <c r="B365" t="s">
        <v>727</v>
      </c>
      <c r="C365" s="4">
        <f>[1]Tabung!C18+[1]Gas!C139</f>
        <v>1700000</v>
      </c>
      <c r="D365" s="4">
        <f>[1]Tabung!D18+[1]Gas!D139</f>
        <v>1725000</v>
      </c>
    </row>
    <row r="366" spans="1:4" x14ac:dyDescent="0.25">
      <c r="A366" t="s">
        <v>728</v>
      </c>
      <c r="B366" t="s">
        <v>729</v>
      </c>
      <c r="C366" s="4">
        <f>[1]Tabung!C18+[1]Gas!C20</f>
        <v>1225000</v>
      </c>
      <c r="D366" s="4">
        <f>[1]Tabung!D18+[1]Gas!D20</f>
        <v>1250000</v>
      </c>
    </row>
    <row r="367" spans="1:4" x14ac:dyDescent="0.25">
      <c r="A367" t="s">
        <v>730</v>
      </c>
      <c r="B367" t="s">
        <v>731</v>
      </c>
      <c r="C367" s="4">
        <f>[1]Tabung!C18+[1]Kran!C29+[1]Gas!C139</f>
        <v>1765000</v>
      </c>
      <c r="D367" s="4">
        <f>[1]Tabung!D18+[1]Kran!D29+[1]Gas!D139</f>
        <v>1790000</v>
      </c>
    </row>
    <row r="368" spans="1:4" x14ac:dyDescent="0.25">
      <c r="A368" t="s">
        <v>732</v>
      </c>
      <c r="B368" t="s">
        <v>733</v>
      </c>
      <c r="C368" s="4">
        <f>[1]Tabung!C18+[1]Kran!C29+[1]Gas!C126</f>
        <v>1364000</v>
      </c>
      <c r="D368" s="4">
        <f>[1]Tabung!D18+[1]Kran!D29+[1]Gas!D126</f>
        <v>1415000</v>
      </c>
    </row>
    <row r="369" spans="1:9" x14ac:dyDescent="0.25">
      <c r="A369" t="s">
        <v>734</v>
      </c>
      <c r="B369" t="s">
        <v>735</v>
      </c>
      <c r="C369" s="4">
        <f>[1]Tabung!C18+[1]Kran!C27+[1]Gas!C79</f>
        <v>2045000</v>
      </c>
      <c r="D369" s="4">
        <f>[1]Tabung!D18+[1]Kran!D27+[1]Gas!D79</f>
        <v>2070000</v>
      </c>
    </row>
    <row r="370" spans="1:9" x14ac:dyDescent="0.25">
      <c r="A370" t="s">
        <v>736</v>
      </c>
      <c r="B370" t="s">
        <v>737</v>
      </c>
      <c r="C370" s="4">
        <f>[1]Tabung!C18</f>
        <v>1200000</v>
      </c>
      <c r="D370" s="4">
        <f>[1]Tabung!D18</f>
        <v>1225000</v>
      </c>
    </row>
    <row r="371" spans="1:9" x14ac:dyDescent="0.25">
      <c r="A371" t="s">
        <v>738</v>
      </c>
      <c r="B371" t="s">
        <v>739</v>
      </c>
      <c r="C371" s="4">
        <f>[1]Tabung!C18</f>
        <v>1200000</v>
      </c>
      <c r="D371" s="4">
        <f>[1]Tabung!D18</f>
        <v>1225000</v>
      </c>
    </row>
    <row r="372" spans="1:9" x14ac:dyDescent="0.25">
      <c r="A372" t="s">
        <v>740</v>
      </c>
      <c r="B372" t="s">
        <v>741</v>
      </c>
      <c r="C372" s="4">
        <f>[1]Tabung!C18</f>
        <v>1200000</v>
      </c>
      <c r="D372" s="4">
        <f>[1]Tabung!D18</f>
        <v>1225000</v>
      </c>
    </row>
    <row r="373" spans="1:9" x14ac:dyDescent="0.25">
      <c r="A373" t="s">
        <v>742</v>
      </c>
      <c r="B373" t="s">
        <v>743</v>
      </c>
      <c r="C373" s="4">
        <f>[1]Tabung!C18</f>
        <v>1200000</v>
      </c>
      <c r="D373" s="4">
        <f>[1]Tabung!D18</f>
        <v>1225000</v>
      </c>
    </row>
    <row r="374" spans="1:9" x14ac:dyDescent="0.25">
      <c r="A374" t="s">
        <v>744</v>
      </c>
      <c r="B374" t="s">
        <v>745</v>
      </c>
      <c r="C374" s="4">
        <f>[1]Tabung!C23</f>
        <v>5500000</v>
      </c>
      <c r="D374" s="4">
        <f>[1]Tabung!D23</f>
        <v>5500000</v>
      </c>
    </row>
    <row r="375" spans="1:9" x14ac:dyDescent="0.25">
      <c r="A375" t="s">
        <v>746</v>
      </c>
      <c r="B375" t="s">
        <v>747</v>
      </c>
      <c r="C375" s="4">
        <f>[1]Tabung!C22+[1]Gas!C17</f>
        <v>2250000</v>
      </c>
      <c r="D375" s="4">
        <f>[1]Tabung!D22+[1]Gas!D17</f>
        <v>2275000</v>
      </c>
      <c r="F375" s="9"/>
      <c r="I375" s="10"/>
    </row>
    <row r="376" spans="1:9" x14ac:dyDescent="0.25">
      <c r="A376" t="s">
        <v>748</v>
      </c>
      <c r="B376" t="s">
        <v>749</v>
      </c>
      <c r="C376" s="4">
        <f>[1]Tabung!C22+[1]Kran!C27</f>
        <v>1185000</v>
      </c>
      <c r="D376" s="4">
        <f>[1]Tabung!D22+[1]Kran!D27</f>
        <v>1210000</v>
      </c>
      <c r="F376" s="9"/>
      <c r="I376" s="10"/>
    </row>
    <row r="377" spans="1:9" x14ac:dyDescent="0.25">
      <c r="A377" t="s">
        <v>750</v>
      </c>
      <c r="B377" t="s">
        <v>751</v>
      </c>
      <c r="C377" s="4">
        <f>[1]Tabung!C22+[1]Gas!C14</f>
        <v>1175000</v>
      </c>
      <c r="D377" s="4">
        <f>[1]Tabung!D22+[1]Gas!D14</f>
        <v>1205000</v>
      </c>
      <c r="F377" s="9"/>
      <c r="I377" s="10"/>
    </row>
    <row r="378" spans="1:9" x14ac:dyDescent="0.25">
      <c r="A378" t="s">
        <v>752</v>
      </c>
      <c r="B378" t="s">
        <v>753</v>
      </c>
      <c r="C378" s="4">
        <f>[1]Tabung!C22+([1]Kran!C34)</f>
        <v>1100000</v>
      </c>
      <c r="D378" s="4">
        <f>[1]Tabung!D22+([1]Kran!D34)</f>
        <v>1125000</v>
      </c>
      <c r="F378" s="9"/>
    </row>
    <row r="379" spans="1:9" x14ac:dyDescent="0.25">
      <c r="A379" t="s">
        <v>754</v>
      </c>
      <c r="B379" t="s">
        <v>755</v>
      </c>
      <c r="C379" s="4">
        <f>[1]Tabung!C22</f>
        <v>1150000</v>
      </c>
      <c r="D379" s="4">
        <f>[1]Tabung!D22</f>
        <v>1175000</v>
      </c>
      <c r="F379" s="9"/>
    </row>
    <row r="380" spans="1:9" x14ac:dyDescent="0.25">
      <c r="A380" t="s">
        <v>756</v>
      </c>
      <c r="B380" t="s">
        <v>757</v>
      </c>
      <c r="C380" s="4">
        <f>[1]Tabung!C22+[1]Gas!C14</f>
        <v>1175000</v>
      </c>
      <c r="D380" s="4">
        <f>[1]Tabung!D22+[1]Gas!D14</f>
        <v>1205000</v>
      </c>
      <c r="F380" s="9"/>
    </row>
    <row r="381" spans="1:9" x14ac:dyDescent="0.25">
      <c r="A381" t="s">
        <v>758</v>
      </c>
      <c r="B381" t="s">
        <v>759</v>
      </c>
      <c r="C381" s="4">
        <f>[1]Tabung!C19+[1]Gas!C17</f>
        <v>2400000</v>
      </c>
      <c r="D381" s="4">
        <f>[1]Tabung!D19+[1]Gas!D17</f>
        <v>2400000</v>
      </c>
    </row>
    <row r="382" spans="1:9" x14ac:dyDescent="0.25">
      <c r="A382" t="s">
        <v>760</v>
      </c>
      <c r="B382" t="s">
        <v>761</v>
      </c>
      <c r="C382" s="4">
        <f>[1]Tabung!C19+[1]Kran!C9+[1]Gas!C90</f>
        <v>1505000</v>
      </c>
      <c r="D382" s="4">
        <f>[1]Tabung!D19+[1]Kran!D9+[1]Gas!D90</f>
        <v>1540000</v>
      </c>
      <c r="F382" s="9"/>
    </row>
    <row r="383" spans="1:9" x14ac:dyDescent="0.25">
      <c r="A383" t="s">
        <v>762</v>
      </c>
      <c r="B383" t="s">
        <v>763</v>
      </c>
      <c r="C383" s="4">
        <f>[1]Tabung!C19+[1]Kran!C27+[1]Gas!C66</f>
        <v>1470000</v>
      </c>
      <c r="D383" s="4">
        <f>[1]Tabung!D19+[1]Kran!D27+[1]Gas!D66</f>
        <v>1435000</v>
      </c>
      <c r="F383" s="9"/>
    </row>
    <row r="384" spans="1:9" x14ac:dyDescent="0.25">
      <c r="A384" t="s">
        <v>764</v>
      </c>
      <c r="B384" t="s">
        <v>765</v>
      </c>
      <c r="C384" s="4">
        <f>[1]Tabung!C19+[1]Kran!C27+[1]Gas!C54</f>
        <v>1455000</v>
      </c>
      <c r="D384" s="4">
        <f>[1]Tabung!D19+[1]Kran!D27+[1]Gas!D54</f>
        <v>1335000</v>
      </c>
      <c r="F384" s="9"/>
    </row>
    <row r="385" spans="1:6" x14ac:dyDescent="0.25">
      <c r="A385" t="s">
        <v>766</v>
      </c>
      <c r="B385" t="s">
        <v>767</v>
      </c>
      <c r="C385" s="4">
        <f>[1]Tabung!C19+[1]Kran!C27+[1]Gas!C55</f>
        <v>1485000</v>
      </c>
      <c r="D385" s="4">
        <f>[1]Tabung!D19+[1]Kran!D27+[1]Gas!D55</f>
        <v>1335000</v>
      </c>
      <c r="F385" s="9"/>
    </row>
    <row r="386" spans="1:6" x14ac:dyDescent="0.25">
      <c r="A386" t="s">
        <v>768</v>
      </c>
      <c r="B386" t="s">
        <v>769</v>
      </c>
      <c r="C386" s="4">
        <f>[1]Tabung!C19+[1]Kran!C27+[1]Gas!C55</f>
        <v>1485000</v>
      </c>
      <c r="D386" s="4">
        <f>[1]Tabung!D19+[1]Kran!D27+[1]Gas!D55</f>
        <v>1335000</v>
      </c>
      <c r="F386" s="9"/>
    </row>
    <row r="387" spans="1:6" x14ac:dyDescent="0.25">
      <c r="A387" t="s">
        <v>770</v>
      </c>
      <c r="B387" t="s">
        <v>771</v>
      </c>
      <c r="C387" s="4">
        <f>[1]Tabung!C19+[1]Kran!C27</f>
        <v>1335000</v>
      </c>
      <c r="D387" s="4">
        <f>[1]Tabung!D19+[1]Kran!D27</f>
        <v>1335000</v>
      </c>
      <c r="F387" s="9"/>
    </row>
    <row r="388" spans="1:6" x14ac:dyDescent="0.25">
      <c r="A388" t="s">
        <v>772</v>
      </c>
      <c r="B388" t="s">
        <v>773</v>
      </c>
      <c r="C388" s="4">
        <f>[1]Tabung!C19+[1]Gas!C27</f>
        <v>1550000</v>
      </c>
      <c r="D388" s="4">
        <f>[1]Tabung!D19+[1]Gas!D27</f>
        <v>1550000</v>
      </c>
      <c r="F388" s="9"/>
    </row>
    <row r="389" spans="1:6" x14ac:dyDescent="0.25">
      <c r="A389" t="s">
        <v>774</v>
      </c>
      <c r="B389" t="s">
        <v>775</v>
      </c>
      <c r="C389" s="4">
        <f>[1]Tabung!C19+[1]Kran!C29</f>
        <v>1365000</v>
      </c>
      <c r="D389" s="4">
        <f>[1]Tabung!D19+[1]Kran!D29</f>
        <v>1365000</v>
      </c>
      <c r="F389" s="9"/>
    </row>
    <row r="390" spans="1:6" x14ac:dyDescent="0.25">
      <c r="A390" t="s">
        <v>776</v>
      </c>
      <c r="B390" t="s">
        <v>777</v>
      </c>
      <c r="C390" s="4">
        <f>[1]Tabung!C19+[1]Kran!C28+[1]Gas!C106</f>
        <v>1835000</v>
      </c>
      <c r="D390" s="4">
        <f>[1]Tabung!D19+[1]Kran!D28+[1]Gas!D106</f>
        <v>1835000</v>
      </c>
    </row>
    <row r="391" spans="1:6" x14ac:dyDescent="0.25">
      <c r="A391" t="s">
        <v>778</v>
      </c>
      <c r="B391" t="s">
        <v>779</v>
      </c>
      <c r="C391" s="4">
        <f>[1]Tabung!C19+[1]Kran!C28+[1]Gas!C99</f>
        <v>1485000</v>
      </c>
      <c r="D391" s="4">
        <f>[1]Tabung!D19+[1]Kran!D28+[1]Gas!D99</f>
        <v>1485000</v>
      </c>
    </row>
    <row r="392" spans="1:6" x14ac:dyDescent="0.25">
      <c r="A392" t="s">
        <v>780</v>
      </c>
      <c r="B392" t="s">
        <v>781</v>
      </c>
      <c r="C392" s="4">
        <f>[1]Tabung!C19+[1]Kran!C28+[1]Gas!C90</f>
        <v>1425000</v>
      </c>
      <c r="D392" s="4">
        <f>[1]Tabung!D19+[1]Kran!D28+[1]Gas!D90</f>
        <v>1460000</v>
      </c>
    </row>
    <row r="393" spans="1:6" x14ac:dyDescent="0.25">
      <c r="A393" t="s">
        <v>782</v>
      </c>
      <c r="B393" t="s">
        <v>783</v>
      </c>
      <c r="C393" s="4">
        <f>[1]Tabung!C19+[1]Kran!C28+[1]Gas!C44</f>
        <v>7335000</v>
      </c>
      <c r="D393" s="4">
        <f>[1]Tabung!D19+[1]Kran!D28+[1]Gas!D44</f>
        <v>6585000</v>
      </c>
    </row>
    <row r="394" spans="1:6" x14ac:dyDescent="0.25">
      <c r="A394" t="s">
        <v>784</v>
      </c>
      <c r="B394" t="s">
        <v>785</v>
      </c>
      <c r="C394" s="4">
        <f>[1]Tabung!C19+[1]Kran!C28</f>
        <v>1335000</v>
      </c>
      <c r="D394" s="4">
        <f>[1]Tabung!D19+[1]Kran!D28</f>
        <v>1335000</v>
      </c>
    </row>
    <row r="395" spans="1:6" x14ac:dyDescent="0.25">
      <c r="A395" t="s">
        <v>786</v>
      </c>
      <c r="B395" t="s">
        <v>787</v>
      </c>
      <c r="C395" s="4">
        <f>[1]Tabung!C19+[1]Kran!C9+[1]Gas!C27</f>
        <v>1665000</v>
      </c>
      <c r="D395" s="4">
        <f>[1]Tabung!D19+[1]Kran!D9+[1]Gas!D27</f>
        <v>1665000</v>
      </c>
    </row>
    <row r="396" spans="1:6" x14ac:dyDescent="0.25">
      <c r="A396" t="s">
        <v>788</v>
      </c>
      <c r="B396" t="s">
        <v>789</v>
      </c>
      <c r="C396" s="4">
        <f>[1]Tabung!C19+[1]Kran!C28+[1]Gas!C27</f>
        <v>1585000</v>
      </c>
      <c r="D396" s="4">
        <f>[1]Tabung!D19+[1]Kran!D28+[1]Gas!D27</f>
        <v>1585000</v>
      </c>
    </row>
    <row r="397" spans="1:6" x14ac:dyDescent="0.25">
      <c r="A397" t="s">
        <v>790</v>
      </c>
      <c r="B397" t="s">
        <v>791</v>
      </c>
      <c r="C397" s="4">
        <f>[1]Tabung!C19+[1]Kran!C27+[1]Gas!C80</f>
        <v>2415000</v>
      </c>
      <c r="D397" s="4">
        <f>[1]Tabung!D19+[1]Kran!D27+[1]Gas!D80</f>
        <v>2415000</v>
      </c>
    </row>
    <row r="398" spans="1:6" x14ac:dyDescent="0.25">
      <c r="A398" t="s">
        <v>792</v>
      </c>
      <c r="B398" t="s">
        <v>793</v>
      </c>
      <c r="C398" s="4">
        <f>[1]Tabung!C19+[1]Kran!C27+[1]Gas!C81</f>
        <v>2955000</v>
      </c>
      <c r="D398" s="4">
        <f>[1]Tabung!D19+[1]Kran!D27+[1]Gas!D81</f>
        <v>2955000</v>
      </c>
    </row>
    <row r="399" spans="1:6" x14ac:dyDescent="0.25">
      <c r="A399" t="s">
        <v>794</v>
      </c>
      <c r="B399" t="s">
        <v>795</v>
      </c>
      <c r="C399" s="4">
        <f>[1]Tabung!C19+[1]Gas!C99</f>
        <v>1450000</v>
      </c>
      <c r="D399" s="4">
        <f>[1]Tabung!D19+[1]Gas!D99</f>
        <v>1450000</v>
      </c>
    </row>
    <row r="400" spans="1:6" x14ac:dyDescent="0.25">
      <c r="A400" t="s">
        <v>796</v>
      </c>
      <c r="B400" t="s">
        <v>797</v>
      </c>
      <c r="C400" s="4">
        <f>[1]Tabung!C19+[1]Gas!C106</f>
        <v>1800000</v>
      </c>
      <c r="D400" s="4">
        <f>[1]Tabung!D19+[1]Gas!D106</f>
        <v>1800000</v>
      </c>
    </row>
    <row r="401" spans="1:6" x14ac:dyDescent="0.25">
      <c r="A401" t="s">
        <v>798</v>
      </c>
      <c r="B401" t="s">
        <v>799</v>
      </c>
      <c r="C401" s="4">
        <f>[1]Tabung!C19+[1]Gas!C90</f>
        <v>1390000</v>
      </c>
      <c r="D401" s="4">
        <f>[1]Tabung!D19+[1]Gas!D90</f>
        <v>1425000</v>
      </c>
    </row>
    <row r="402" spans="1:6" x14ac:dyDescent="0.25">
      <c r="A402" t="s">
        <v>800</v>
      </c>
      <c r="B402" t="s">
        <v>801</v>
      </c>
      <c r="C402" s="4">
        <f>[1]Tabung!C19+[1]Gas!C44</f>
        <v>7300000</v>
      </c>
      <c r="D402" s="4">
        <f>[1]Tabung!D19+[1]Gas!D44</f>
        <v>6550000</v>
      </c>
    </row>
    <row r="403" spans="1:6" x14ac:dyDescent="0.25">
      <c r="A403" t="s">
        <v>802</v>
      </c>
      <c r="B403" t="s">
        <v>803</v>
      </c>
      <c r="C403" s="4">
        <f>[1]Tabung!C19</f>
        <v>1300000</v>
      </c>
      <c r="D403" s="4">
        <f>[1]Tabung!D19</f>
        <v>1300000</v>
      </c>
    </row>
    <row r="404" spans="1:6" x14ac:dyDescent="0.25">
      <c r="A404" t="s">
        <v>804</v>
      </c>
      <c r="B404" t="s">
        <v>805</v>
      </c>
      <c r="C404" s="4">
        <f>[1]Tabung!C19+[1]Gas!C14</f>
        <v>1325000</v>
      </c>
      <c r="D404" s="4">
        <f>[1]Tabung!D19+[1]Gas!D14</f>
        <v>1330000</v>
      </c>
    </row>
    <row r="405" spans="1:6" x14ac:dyDescent="0.25">
      <c r="A405" t="s">
        <v>806</v>
      </c>
      <c r="B405" t="s">
        <v>807</v>
      </c>
      <c r="C405" s="4">
        <f>[1]Tabung!C19+[1]Gas!C14</f>
        <v>1325000</v>
      </c>
      <c r="D405" s="4">
        <f>[1]Tabung!D19+[1]Gas!D14</f>
        <v>1330000</v>
      </c>
      <c r="E405" s="4"/>
    </row>
    <row r="406" spans="1:6" x14ac:dyDescent="0.25">
      <c r="A406" t="s">
        <v>808</v>
      </c>
      <c r="B406" t="s">
        <v>809</v>
      </c>
      <c r="C406" s="4">
        <f>[1]Tabung!C19+[1]Gas!C16</f>
        <v>1425000</v>
      </c>
      <c r="D406" s="4">
        <f>[1]Tabung!D19+[1]Gas!D16</f>
        <v>1425000</v>
      </c>
    </row>
    <row r="407" spans="1:6" x14ac:dyDescent="0.25">
      <c r="A407" t="s">
        <v>810</v>
      </c>
      <c r="B407" t="s">
        <v>811</v>
      </c>
      <c r="C407" s="4">
        <f>[1]Tabung!C20+[1]Gas!C90</f>
        <v>1390000</v>
      </c>
      <c r="D407" s="4">
        <f>[1]Tabung!D20+[1]Gas!D90</f>
        <v>1425000</v>
      </c>
    </row>
    <row r="408" spans="1:6" x14ac:dyDescent="0.25">
      <c r="A408" t="s">
        <v>812</v>
      </c>
      <c r="B408" t="s">
        <v>813</v>
      </c>
      <c r="C408" s="4">
        <f>[1]Tabung!C20</f>
        <v>1300000</v>
      </c>
      <c r="D408" s="4">
        <f>[1]Tabung!D20</f>
        <v>1300000</v>
      </c>
    </row>
    <row r="409" spans="1:6" x14ac:dyDescent="0.25">
      <c r="A409" t="s">
        <v>814</v>
      </c>
      <c r="B409" t="s">
        <v>815</v>
      </c>
      <c r="C409" s="4">
        <f>[1]Tabung!C20+[1]Gas!C25</f>
        <v>1425000</v>
      </c>
      <c r="D409" s="4">
        <f>[1]Tabung!D20+[1]Gas!D25</f>
        <v>1425000</v>
      </c>
    </row>
    <row r="410" spans="1:6" x14ac:dyDescent="0.25">
      <c r="A410" t="s">
        <v>816</v>
      </c>
      <c r="B410" t="s">
        <v>817</v>
      </c>
      <c r="C410" s="4">
        <f>[1]Tabung!C20+[1]Gas!C21</f>
        <v>1330000</v>
      </c>
      <c r="D410" s="4">
        <f>[1]Tabung!D20+[1]Gas!D21</f>
        <v>1335000</v>
      </c>
    </row>
    <row r="411" spans="1:6" x14ac:dyDescent="0.25">
      <c r="A411" t="s">
        <v>818</v>
      </c>
      <c r="B411" t="s">
        <v>819</v>
      </c>
      <c r="C411" s="4">
        <f>[1]Tabung!C20+[1]Gas!C14</f>
        <v>1325000</v>
      </c>
      <c r="D411" s="4">
        <f>[1]Tabung!D20+[1]Gas!D14</f>
        <v>1330000</v>
      </c>
    </row>
    <row r="412" spans="1:6" x14ac:dyDescent="0.25">
      <c r="A412" t="s">
        <v>820</v>
      </c>
      <c r="B412" t="s">
        <v>821</v>
      </c>
      <c r="C412" s="4">
        <f>[1]Tabung!C19+[1]Gas!C34</f>
        <v>1345000</v>
      </c>
      <c r="D412" s="4">
        <f>[1]Tabung!D19+[1]Gas!D34</f>
        <v>1420000</v>
      </c>
    </row>
    <row r="413" spans="1:6" x14ac:dyDescent="0.25">
      <c r="A413" t="s">
        <v>822</v>
      </c>
      <c r="B413" t="s">
        <v>823</v>
      </c>
      <c r="C413" s="4">
        <f>[1]Tabung!C19+[1]Kran!C29</f>
        <v>1365000</v>
      </c>
      <c r="D413" s="4">
        <f>[1]Tabung!D19+[1]Kran!D29</f>
        <v>1365000</v>
      </c>
      <c r="F413" s="9"/>
    </row>
    <row r="414" spans="1:6" x14ac:dyDescent="0.25">
      <c r="A414" t="s">
        <v>824</v>
      </c>
      <c r="B414" t="s">
        <v>825</v>
      </c>
      <c r="C414" s="4">
        <f>[1]Tabung!C19+[1]Kran!C29+[1]Gas!C140</f>
        <v>1865000</v>
      </c>
      <c r="D414" s="4">
        <f>[1]Tabung!D19+[1]Kran!D29+[1]Gas!D140</f>
        <v>1865000</v>
      </c>
      <c r="F414" s="9"/>
    </row>
    <row r="415" spans="1:6" x14ac:dyDescent="0.25">
      <c r="A415" t="s">
        <v>826</v>
      </c>
      <c r="B415" t="s">
        <v>827</v>
      </c>
      <c r="C415" s="4">
        <f>[1]Tabung!C19+[1]Kran!C27</f>
        <v>1335000</v>
      </c>
      <c r="D415" s="4">
        <f>[1]Tabung!D19+[1]Kran!D27</f>
        <v>1335000</v>
      </c>
      <c r="F415" s="9"/>
    </row>
    <row r="416" spans="1:6" x14ac:dyDescent="0.25">
      <c r="A416" t="s">
        <v>828</v>
      </c>
      <c r="B416" t="s">
        <v>829</v>
      </c>
      <c r="C416" s="4">
        <f>[1]Tabung!C19+([1]Kran!C34)</f>
        <v>1250000</v>
      </c>
      <c r="D416" s="4">
        <f>[1]Tabung!D19+([1]Kran!D34)</f>
        <v>1250000</v>
      </c>
      <c r="F416" s="9"/>
    </row>
    <row r="417" spans="1:6" x14ac:dyDescent="0.25">
      <c r="A417" t="s">
        <v>830</v>
      </c>
      <c r="B417" t="s">
        <v>831</v>
      </c>
      <c r="C417" s="4">
        <f>[1]Tabung!C19+[1]Kran!C29+[1]Gas!C134</f>
        <v>1365000</v>
      </c>
      <c r="D417" s="4">
        <f>[1]Tabung!D19+[1]Kran!D29+[1]Gas!D134</f>
        <v>1365000</v>
      </c>
      <c r="F417" s="9"/>
    </row>
    <row r="418" spans="1:6" x14ac:dyDescent="0.25">
      <c r="A418" t="s">
        <v>832</v>
      </c>
      <c r="B418" t="s">
        <v>833</v>
      </c>
      <c r="C418" s="4">
        <f>[1]Tabung!C19+[1]Kran!C29+[1]Gas!C140</f>
        <v>1865000</v>
      </c>
      <c r="D418" s="4">
        <f>[1]Tabung!D19+[1]Kran!D29+[1]Gas!D140</f>
        <v>1865000</v>
      </c>
      <c r="E418" s="3"/>
      <c r="F418" s="9"/>
    </row>
    <row r="419" spans="1:6" x14ac:dyDescent="0.25">
      <c r="A419" t="s">
        <v>834</v>
      </c>
      <c r="B419" t="s">
        <v>835</v>
      </c>
      <c r="C419" s="4">
        <f>[1]Tabung!C19+[1]Kran!C29+[1]Gas!C127</f>
        <v>1464000</v>
      </c>
      <c r="D419" s="4">
        <f>[1]Tabung!D19+[1]Kran!D29+[1]Gas!D127</f>
        <v>1490000</v>
      </c>
      <c r="F419" s="9"/>
    </row>
    <row r="420" spans="1:6" x14ac:dyDescent="0.25">
      <c r="A420" t="s">
        <v>836</v>
      </c>
      <c r="B420" t="s">
        <v>837</v>
      </c>
      <c r="C420" s="4">
        <f>[1]Tabung!C19+[1]Kran!C29</f>
        <v>1365000</v>
      </c>
      <c r="D420" s="4">
        <f>[1]Tabung!D19+[1]Kran!D29</f>
        <v>1365000</v>
      </c>
      <c r="F420" s="9"/>
    </row>
    <row r="421" spans="1:6" x14ac:dyDescent="0.25">
      <c r="A421" t="s">
        <v>838</v>
      </c>
      <c r="B421" t="s">
        <v>839</v>
      </c>
      <c r="C421" s="4">
        <f>[1]Tabung!C19+[1]Kran!C27+[1]Gas!C55</f>
        <v>1485000</v>
      </c>
      <c r="D421" s="4">
        <f>[1]Tabung!D19+[1]Kran!D27+[1]Gas!D55</f>
        <v>1335000</v>
      </c>
      <c r="F421" s="9"/>
    </row>
    <row r="422" spans="1:6" x14ac:dyDescent="0.25">
      <c r="A422" t="s">
        <v>840</v>
      </c>
      <c r="B422" t="s">
        <v>841</v>
      </c>
      <c r="C422" s="4">
        <f>[1]Tabung!C19+[1]Kran!C27</f>
        <v>1335000</v>
      </c>
      <c r="D422" s="4">
        <f>[1]Tabung!D19+[1]Kran!D27</f>
        <v>1335000</v>
      </c>
      <c r="F422" s="9"/>
    </row>
    <row r="423" spans="1:6" x14ac:dyDescent="0.25">
      <c r="A423" t="s">
        <v>842</v>
      </c>
      <c r="B423" t="s">
        <v>843</v>
      </c>
      <c r="C423" s="4">
        <f>[1]Tabung!C20</f>
        <v>1300000</v>
      </c>
      <c r="D423" s="4">
        <f>[1]Tabung!D20</f>
        <v>1300000</v>
      </c>
    </row>
    <row r="424" spans="1:6" x14ac:dyDescent="0.25">
      <c r="A424" t="s">
        <v>844</v>
      </c>
      <c r="B424" t="s">
        <v>845</v>
      </c>
      <c r="C424" s="4">
        <f>[1]Tabung!C19</f>
        <v>1300000</v>
      </c>
      <c r="D424" s="4">
        <f>[1]Tabung!D19</f>
        <v>1300000</v>
      </c>
    </row>
    <row r="425" spans="1:6" x14ac:dyDescent="0.25">
      <c r="A425" t="s">
        <v>846</v>
      </c>
      <c r="B425" t="s">
        <v>847</v>
      </c>
      <c r="C425" s="4">
        <f>[1]Tabung!C19+[1]Gas!C21</f>
        <v>1330000</v>
      </c>
      <c r="D425" s="4">
        <f>[1]Tabung!D19+[1]Gas!D21</f>
        <v>1335000</v>
      </c>
    </row>
    <row r="426" spans="1:6" x14ac:dyDescent="0.25">
      <c r="A426" t="s">
        <v>848</v>
      </c>
      <c r="B426" t="s">
        <v>849</v>
      </c>
      <c r="C426" s="4">
        <f>[1]Tabung!C19+[1]Gas!C14</f>
        <v>1325000</v>
      </c>
      <c r="D426" s="4">
        <f>[1]Tabung!D19+[1]Gas!D14</f>
        <v>1330000</v>
      </c>
    </row>
    <row r="427" spans="1:6" x14ac:dyDescent="0.25">
      <c r="A427" t="s">
        <v>850</v>
      </c>
      <c r="B427" t="s">
        <v>851</v>
      </c>
      <c r="C427" s="4">
        <f>[1]Tabung!C19+([1]Kran!C34)</f>
        <v>1250000</v>
      </c>
      <c r="D427" s="4">
        <f>[1]Tabung!D19+([1]Kran!D34)</f>
        <v>1250000</v>
      </c>
      <c r="E427" s="3"/>
      <c r="F427" s="9"/>
    </row>
    <row r="428" spans="1:6" x14ac:dyDescent="0.25">
      <c r="A428" t="s">
        <v>852</v>
      </c>
      <c r="B428" t="s">
        <v>853</v>
      </c>
      <c r="C428" s="4">
        <f>[1]Tabung!C19+[1]Kran!C27+[1]Gas!C80</f>
        <v>2415000</v>
      </c>
      <c r="D428" s="4">
        <f>[1]Tabung!D19+[1]Kran!D27+[1]Gas!D80</f>
        <v>2415000</v>
      </c>
      <c r="F428" s="9"/>
    </row>
    <row r="429" spans="1:6" x14ac:dyDescent="0.25">
      <c r="A429" t="s">
        <v>854</v>
      </c>
      <c r="B429" t="s">
        <v>855</v>
      </c>
      <c r="C429" s="4">
        <f>[1]Tabung!C20</f>
        <v>1300000</v>
      </c>
      <c r="D429" s="4">
        <f>[1]Tabung!D20</f>
        <v>1300000</v>
      </c>
    </row>
    <row r="430" spans="1:6" x14ac:dyDescent="0.25">
      <c r="A430" t="s">
        <v>856</v>
      </c>
      <c r="B430" t="s">
        <v>857</v>
      </c>
      <c r="C430" s="4">
        <f>[1]Tabung!C19+[1]Gas!C99</f>
        <v>1450000</v>
      </c>
      <c r="D430" s="4">
        <f>[1]Tabung!D19+[1]Gas!D99</f>
        <v>1450000</v>
      </c>
    </row>
    <row r="431" spans="1:6" x14ac:dyDescent="0.25">
      <c r="A431" t="s">
        <v>858</v>
      </c>
      <c r="B431" t="s">
        <v>859</v>
      </c>
      <c r="C431" s="4">
        <f>[1]Tabung!C19+[1]Gas!C106</f>
        <v>1800000</v>
      </c>
      <c r="D431" s="4">
        <f>[1]Tabung!D19+[1]Gas!D106</f>
        <v>1800000</v>
      </c>
      <c r="E431" s="3"/>
    </row>
    <row r="432" spans="1:6" x14ac:dyDescent="0.25">
      <c r="A432" t="s">
        <v>860</v>
      </c>
      <c r="B432" t="s">
        <v>861</v>
      </c>
      <c r="C432" s="4">
        <f>[1]Tabung!C19+[1]Gas!C90</f>
        <v>1390000</v>
      </c>
      <c r="D432" s="4">
        <f>[1]Tabung!D19+[1]Gas!D90</f>
        <v>1425000</v>
      </c>
    </row>
    <row r="433" spans="1:4" x14ac:dyDescent="0.25">
      <c r="A433" t="s">
        <v>862</v>
      </c>
      <c r="B433" t="s">
        <v>863</v>
      </c>
      <c r="C433" s="4">
        <f>[1]Tabung!C19+[1]Gas!C44</f>
        <v>7300000</v>
      </c>
      <c r="D433" s="4">
        <f>[1]Tabung!D19+[1]Gas!D44</f>
        <v>6550000</v>
      </c>
    </row>
    <row r="434" spans="1:4" x14ac:dyDescent="0.25">
      <c r="A434" t="s">
        <v>864</v>
      </c>
      <c r="B434" t="s">
        <v>865</v>
      </c>
      <c r="C434" s="4">
        <f>[1]Tabung!C19</f>
        <v>1300000</v>
      </c>
      <c r="D434" s="4">
        <f>[1]Tabung!D19</f>
        <v>1300000</v>
      </c>
    </row>
    <row r="435" spans="1:4" x14ac:dyDescent="0.25">
      <c r="A435" t="s">
        <v>866</v>
      </c>
      <c r="B435" t="s">
        <v>867</v>
      </c>
      <c r="C435" s="4">
        <f>[1]Tabung!C19+[1]Gas!C21</f>
        <v>1330000</v>
      </c>
      <c r="D435" s="4">
        <f>[1]Tabung!D19+[1]Gas!D21</f>
        <v>1335000</v>
      </c>
    </row>
    <row r="436" spans="1:4" x14ac:dyDescent="0.25">
      <c r="A436" t="s">
        <v>868</v>
      </c>
      <c r="B436" t="s">
        <v>869</v>
      </c>
      <c r="C436" s="4">
        <f>[1]Tabung!C20+[1]Gas!C21</f>
        <v>1330000</v>
      </c>
      <c r="D436" s="4">
        <f>[1]Tabung!D20+[1]Gas!D21</f>
        <v>1335000</v>
      </c>
    </row>
    <row r="437" spans="1:4" x14ac:dyDescent="0.25">
      <c r="A437" t="s">
        <v>870</v>
      </c>
      <c r="B437" t="s">
        <v>871</v>
      </c>
      <c r="C437" s="4">
        <f>[1]Tabung!C19+[1]Gas!C14</f>
        <v>1325000</v>
      </c>
      <c r="D437" s="4">
        <f>[1]Tabung!D19+[1]Gas!D14</f>
        <v>1330000</v>
      </c>
    </row>
    <row r="438" spans="1:4" x14ac:dyDescent="0.25">
      <c r="A438" t="s">
        <v>872</v>
      </c>
      <c r="B438" t="s">
        <v>873</v>
      </c>
      <c r="C438" s="4">
        <f>[1]Tabung!C20+[1]Gas!C14</f>
        <v>1325000</v>
      </c>
      <c r="D438" s="4">
        <f>[1]Tabung!D20+[1]Gas!D14</f>
        <v>1330000</v>
      </c>
    </row>
    <row r="439" spans="1:4" x14ac:dyDescent="0.25">
      <c r="A439" t="s">
        <v>874</v>
      </c>
      <c r="B439" t="s">
        <v>875</v>
      </c>
      <c r="C439" s="4">
        <f>[1]Tabung!C20+[1]Gas!C34</f>
        <v>1345000</v>
      </c>
      <c r="D439" s="4">
        <f>[1]Tabung!D20+[1]Gas!D34</f>
        <v>1420000</v>
      </c>
    </row>
    <row r="440" spans="1:4" x14ac:dyDescent="0.25">
      <c r="A440" t="s">
        <v>876</v>
      </c>
      <c r="B440" t="s">
        <v>877</v>
      </c>
      <c r="C440" s="4">
        <f>[1]Tabung!C19+[1]Kran!C29+[1]Gas!C140</f>
        <v>1865000</v>
      </c>
      <c r="D440" s="4">
        <f>[1]Tabung!D19+[1]Kran!D29+[1]Gas!D140</f>
        <v>1865000</v>
      </c>
    </row>
    <row r="441" spans="1:4" x14ac:dyDescent="0.25">
      <c r="A441" t="s">
        <v>878</v>
      </c>
      <c r="B441" t="s">
        <v>879</v>
      </c>
      <c r="C441" s="4">
        <f>[1]Tabung!C19+[1]Kran!C29+[1]Gas!C127</f>
        <v>1464000</v>
      </c>
      <c r="D441" s="4">
        <f>[1]Tabung!D19+[1]Kran!D29+[1]Gas!D127</f>
        <v>1490000</v>
      </c>
    </row>
    <row r="442" spans="1:4" x14ac:dyDescent="0.25">
      <c r="A442" t="s">
        <v>880</v>
      </c>
      <c r="B442" t="s">
        <v>881</v>
      </c>
      <c r="C442" s="4">
        <f>[1]Tabung!C19+[1]Gas!C27</f>
        <v>1550000</v>
      </c>
      <c r="D442" s="4">
        <f>[1]Tabung!D19+[1]Gas!D27</f>
        <v>1550000</v>
      </c>
    </row>
    <row r="443" spans="1:4" x14ac:dyDescent="0.25">
      <c r="A443" t="s">
        <v>882</v>
      </c>
      <c r="B443" t="s">
        <v>883</v>
      </c>
      <c r="C443" s="4">
        <f>[1]Tabung!C21</f>
        <v>1430000</v>
      </c>
      <c r="D443" s="4">
        <f>[1]Tabung!D21</f>
        <v>1300000</v>
      </c>
    </row>
    <row r="444" spans="1:4" x14ac:dyDescent="0.25">
      <c r="A444" t="s">
        <v>884</v>
      </c>
      <c r="B444" t="s">
        <v>885</v>
      </c>
      <c r="C444" s="4">
        <f>[1]Tabung!C21</f>
        <v>1430000</v>
      </c>
      <c r="D444" s="4">
        <f>[1]Tabung!D21</f>
        <v>1300000</v>
      </c>
    </row>
    <row r="445" spans="1:4" x14ac:dyDescent="0.25">
      <c r="A445" t="s">
        <v>886</v>
      </c>
      <c r="B445" t="s">
        <v>887</v>
      </c>
      <c r="C445" s="4">
        <f>[1]Tabung!C21</f>
        <v>1430000</v>
      </c>
      <c r="D445" s="4">
        <f>[1]Tabung!D21</f>
        <v>1300000</v>
      </c>
    </row>
    <row r="446" spans="1:4" x14ac:dyDescent="0.25">
      <c r="A446" t="s">
        <v>888</v>
      </c>
      <c r="B446" t="s">
        <v>889</v>
      </c>
      <c r="C446" s="4">
        <f>[1]Tabung!C21+[1]Gas!C14</f>
        <v>1455000</v>
      </c>
      <c r="D446" s="4">
        <f>[1]Tabung!D21+[1]Gas!D14</f>
        <v>1330000</v>
      </c>
    </row>
    <row r="447" spans="1:4" x14ac:dyDescent="0.25">
      <c r="A447" t="s">
        <v>890</v>
      </c>
      <c r="B447" t="s">
        <v>891</v>
      </c>
      <c r="C447" s="4">
        <f>[1]Tabung!C24+[1]Kran!C27</f>
        <v>1535000</v>
      </c>
      <c r="D447" s="4">
        <f>[1]Tabung!D24+[1]Kran!D27</f>
        <v>1535000</v>
      </c>
    </row>
    <row r="448" spans="1:4" x14ac:dyDescent="0.25">
      <c r="A448" t="s">
        <v>892</v>
      </c>
      <c r="B448" t="s">
        <v>893</v>
      </c>
      <c r="C448" s="4">
        <f>[1]Tabung!C24+[1]Kran!C29</f>
        <v>1565000</v>
      </c>
      <c r="D448" s="4">
        <f>[1]Tabung!D24+[1]Kran!D29</f>
        <v>1565000</v>
      </c>
    </row>
    <row r="449" spans="1:4" x14ac:dyDescent="0.25">
      <c r="A449" t="s">
        <v>894</v>
      </c>
      <c r="B449" t="s">
        <v>895</v>
      </c>
      <c r="C449" s="4">
        <f>[1]Tabung!C24+[1]Kran!C27+[1]Gas!C80</f>
        <v>2615000</v>
      </c>
      <c r="D449" s="4">
        <f>[1]Tabung!D24+[1]Kran!D27+[1]Gas!D80</f>
        <v>2615000</v>
      </c>
    </row>
    <row r="450" spans="1:4" x14ac:dyDescent="0.25">
      <c r="A450" t="s">
        <v>896</v>
      </c>
      <c r="B450" t="s">
        <v>897</v>
      </c>
      <c r="C450" s="4">
        <f>[1]Tabung!C24+[1]Gas!C99</f>
        <v>1650000</v>
      </c>
      <c r="D450" s="4">
        <f>[1]Tabung!D24+[1]Gas!D99</f>
        <v>1650000</v>
      </c>
    </row>
    <row r="451" spans="1:4" x14ac:dyDescent="0.25">
      <c r="A451" t="s">
        <v>898</v>
      </c>
      <c r="B451" t="s">
        <v>899</v>
      </c>
      <c r="C451" s="4">
        <f>[1]Tabung!C24+[1]Gas!C106</f>
        <v>2000000</v>
      </c>
      <c r="D451" s="4">
        <f>[1]Tabung!D24+[1]Gas!D106</f>
        <v>2000000</v>
      </c>
    </row>
    <row r="452" spans="1:4" x14ac:dyDescent="0.25">
      <c r="A452" t="s">
        <v>900</v>
      </c>
      <c r="B452" t="s">
        <v>901</v>
      </c>
      <c r="C452" s="4">
        <f>[1]Tabung!C24+[1]Gas!C91</f>
        <v>1625000</v>
      </c>
      <c r="D452" s="4">
        <f>[1]Tabung!D24+[1]Gas!D91</f>
        <v>1650000</v>
      </c>
    </row>
    <row r="453" spans="1:4" x14ac:dyDescent="0.25">
      <c r="A453" t="s">
        <v>902</v>
      </c>
      <c r="B453" t="s">
        <v>903</v>
      </c>
      <c r="C453" s="4">
        <f>[1]Tabung!C24+[1]Gas!C141</f>
        <v>2000000</v>
      </c>
      <c r="D453" s="4">
        <f>[1]Tabung!D24+[1]Gas!D141</f>
        <v>2000000</v>
      </c>
    </row>
    <row r="454" spans="1:4" x14ac:dyDescent="0.25">
      <c r="A454" t="s">
        <v>904</v>
      </c>
      <c r="B454" t="s">
        <v>905</v>
      </c>
      <c r="C454" s="4">
        <f>[1]Tabung!C24+[1]Gas!C45</f>
        <v>8500000</v>
      </c>
      <c r="D454" s="4">
        <f>[1]Tabung!D24+[1]Gas!D45</f>
        <v>7475000</v>
      </c>
    </row>
    <row r="455" spans="1:4" x14ac:dyDescent="0.25">
      <c r="A455" t="s">
        <v>906</v>
      </c>
      <c r="B455" t="s">
        <v>907</v>
      </c>
      <c r="C455" s="4">
        <f>[1]Tabung!C24</f>
        <v>1500000</v>
      </c>
      <c r="D455" s="4">
        <f>[1]Tabung!D24</f>
        <v>1500000</v>
      </c>
    </row>
    <row r="456" spans="1:4" x14ac:dyDescent="0.25">
      <c r="A456" t="s">
        <v>908</v>
      </c>
      <c r="B456" t="s">
        <v>909</v>
      </c>
      <c r="C456" s="4">
        <f>[1]Tabung!C24+[1]Gas!C22</f>
        <v>1535000</v>
      </c>
      <c r="D456" s="4">
        <f>[1]Tabung!D24+[1]Gas!D22</f>
        <v>1535000</v>
      </c>
    </row>
    <row r="457" spans="1:4" x14ac:dyDescent="0.25">
      <c r="A457" t="s">
        <v>910</v>
      </c>
      <c r="B457" t="s">
        <v>911</v>
      </c>
      <c r="C457" s="4">
        <f>[1]Tabung!C24+[1]Gas!C15</f>
        <v>1530000</v>
      </c>
      <c r="D457" s="4">
        <f>[1]Tabung!D24+[1]Gas!D15</f>
        <v>1530000</v>
      </c>
    </row>
    <row r="458" spans="1:4" x14ac:dyDescent="0.25">
      <c r="A458" t="s">
        <v>912</v>
      </c>
      <c r="B458" t="s">
        <v>913</v>
      </c>
      <c r="C458" s="4">
        <f>[1]Tabung!C24+[1]Kran!C29+[1]Gas!C128</f>
        <v>1690000</v>
      </c>
      <c r="D458" s="4">
        <f>[1]Tabung!D24+[1]Kran!D29+[1]Gas!D128</f>
        <v>1715000</v>
      </c>
    </row>
    <row r="459" spans="1:4" x14ac:dyDescent="0.25">
      <c r="A459" t="s">
        <v>914</v>
      </c>
      <c r="B459" t="s">
        <v>915</v>
      </c>
      <c r="C459" s="4">
        <f>[1]Tabung!C24+([1]Kran!C34)</f>
        <v>1450000</v>
      </c>
      <c r="D459" s="4">
        <f>[1]Tabung!D24+([1]Kran!D34)</f>
        <v>1450000</v>
      </c>
    </row>
    <row r="460" spans="1:4" x14ac:dyDescent="0.25">
      <c r="A460" t="s">
        <v>916</v>
      </c>
      <c r="B460" t="s">
        <v>917</v>
      </c>
      <c r="C460" s="4">
        <f>[1]Tabung!C24+[1]Kran!C29+[1]Gas!C128</f>
        <v>1690000</v>
      </c>
      <c r="D460" s="4">
        <f>[1]Tabung!D24+[1]Kran!D29+[1]Gas!D128</f>
        <v>1715000</v>
      </c>
    </row>
    <row r="461" spans="1:4" x14ac:dyDescent="0.25">
      <c r="A461" t="s">
        <v>918</v>
      </c>
      <c r="B461" t="s">
        <v>919</v>
      </c>
      <c r="C461" s="4">
        <f>[1]Kran!C52</f>
        <v>55000</v>
      </c>
      <c r="D461" s="4">
        <f>[1]Kran!D52</f>
        <v>65000</v>
      </c>
    </row>
    <row r="462" spans="1:4" x14ac:dyDescent="0.25">
      <c r="A462" t="s">
        <v>920</v>
      </c>
      <c r="B462" t="s">
        <v>921</v>
      </c>
      <c r="C462" s="4">
        <f>[1]Kran!C53</f>
        <v>55000</v>
      </c>
      <c r="D462" s="4">
        <f>[1]Kran!D53</f>
        <v>65000</v>
      </c>
    </row>
    <row r="463" spans="1:4" x14ac:dyDescent="0.25">
      <c r="A463" t="s">
        <v>922</v>
      </c>
      <c r="B463" t="s">
        <v>923</v>
      </c>
      <c r="C463" s="4">
        <f>[1]Kran!C54</f>
        <v>60000</v>
      </c>
      <c r="D463" s="4">
        <f>[1]Kran!D54</f>
        <v>75000</v>
      </c>
    </row>
    <row r="464" spans="1:4" x14ac:dyDescent="0.25">
      <c r="A464" t="s">
        <v>924</v>
      </c>
      <c r="B464" t="s">
        <v>925</v>
      </c>
      <c r="C464" s="4">
        <f>[1]Kran!C55</f>
        <v>375000</v>
      </c>
      <c r="D464" s="4">
        <f>[1]Kran!D55</f>
        <v>400000</v>
      </c>
    </row>
    <row r="465" spans="1:4" x14ac:dyDescent="0.25">
      <c r="A465" t="s">
        <v>926</v>
      </c>
      <c r="B465" t="s">
        <v>927</v>
      </c>
      <c r="C465" s="4">
        <f>[1]Kran!C56</f>
        <v>100000</v>
      </c>
      <c r="D465" s="4">
        <f>[1]Kran!D56</f>
        <v>100000</v>
      </c>
    </row>
    <row r="466" spans="1:4" x14ac:dyDescent="0.25">
      <c r="A466" t="s">
        <v>928</v>
      </c>
      <c r="B466" t="s">
        <v>929</v>
      </c>
      <c r="C466" s="4">
        <f>[1]Kran!C57</f>
        <v>125000</v>
      </c>
      <c r="D466" s="4">
        <f>[1]Kran!D57</f>
        <v>125000</v>
      </c>
    </row>
    <row r="467" spans="1:4" x14ac:dyDescent="0.25">
      <c r="A467" t="s">
        <v>930</v>
      </c>
      <c r="B467" t="s">
        <v>931</v>
      </c>
      <c r="C467" s="4">
        <f>[1]Kran!C58</f>
        <v>125000</v>
      </c>
      <c r="D467" s="4">
        <f>[1]Kran!D58</f>
        <v>125000</v>
      </c>
    </row>
    <row r="468" spans="1:4" x14ac:dyDescent="0.25">
      <c r="A468" t="s">
        <v>932</v>
      </c>
      <c r="B468" t="s">
        <v>933</v>
      </c>
      <c r="C468" s="4">
        <f>[1]Kran!C59</f>
        <v>750000</v>
      </c>
      <c r="D468" s="4">
        <f>[1]Kran!D59</f>
        <v>750000</v>
      </c>
    </row>
    <row r="469" spans="1:4" x14ac:dyDescent="0.25">
      <c r="A469" t="s">
        <v>934</v>
      </c>
      <c r="B469" t="s">
        <v>935</v>
      </c>
      <c r="C469" s="4">
        <f>[1]Kran!C60</f>
        <v>50000</v>
      </c>
      <c r="D469" s="4">
        <f>[1]Kran!D60</f>
        <v>50000</v>
      </c>
    </row>
    <row r="470" spans="1:4" x14ac:dyDescent="0.25">
      <c r="A470" t="s">
        <v>936</v>
      </c>
      <c r="B470" t="s">
        <v>937</v>
      </c>
      <c r="C470" s="4">
        <f>[1]Kran!C61</f>
        <v>15000</v>
      </c>
      <c r="D470" s="4">
        <f>[1]Kran!D61</f>
        <v>15000</v>
      </c>
    </row>
    <row r="471" spans="1:4" x14ac:dyDescent="0.25">
      <c r="A471" t="s">
        <v>938</v>
      </c>
      <c r="B471" t="s">
        <v>939</v>
      </c>
      <c r="C471" s="4">
        <f>[1]Kran!C62</f>
        <v>50000</v>
      </c>
      <c r="D471" s="4">
        <f>[1]Kran!D62</f>
        <v>50000</v>
      </c>
    </row>
    <row r="472" spans="1:4" x14ac:dyDescent="0.25">
      <c r="A472" t="s">
        <v>940</v>
      </c>
      <c r="B472" t="s">
        <v>941</v>
      </c>
      <c r="C472" s="4">
        <f>[1]Kran!C63</f>
        <v>50000</v>
      </c>
      <c r="D472" s="4">
        <f>[1]Kran!D63</f>
        <v>50000</v>
      </c>
    </row>
    <row r="473" spans="1:4" x14ac:dyDescent="0.25">
      <c r="A473" t="s">
        <v>942</v>
      </c>
      <c r="B473" t="s">
        <v>943</v>
      </c>
      <c r="C473">
        <f>[1]Kran!C78</f>
        <v>2200000</v>
      </c>
      <c r="D473">
        <f>[1]Kran!D78</f>
        <v>2200000</v>
      </c>
    </row>
  </sheetData>
  <autoFilter ref="A1:D466" xr:uid="{00000000-0009-0000-0000-000004000000}">
    <sortState xmlns:xlrd2="http://schemas.microsoft.com/office/spreadsheetml/2017/richdata2" ref="A2:D466">
      <sortCondition ref="B2:B466"/>
    </sortState>
  </autoFilter>
  <conditionalFormatting sqref="B2">
    <cfRule type="duplicateValues" dxfId="7" priority="6"/>
  </conditionalFormatting>
  <conditionalFormatting sqref="A186">
    <cfRule type="duplicateValues" dxfId="6" priority="5"/>
  </conditionalFormatting>
  <conditionalFormatting sqref="A473">
    <cfRule type="duplicateValues" dxfId="5" priority="4"/>
  </conditionalFormatting>
  <conditionalFormatting sqref="A154">
    <cfRule type="duplicateValues" dxfId="4" priority="2"/>
  </conditionalFormatting>
  <conditionalFormatting sqref="A154">
    <cfRule type="duplicateValues" dxfId="3" priority="3"/>
  </conditionalFormatting>
  <conditionalFormatting sqref="A474:A1048576 A187:A335 A155:A185 A1:A103 H104:H117 A119:A133 A149:A153 E134:E148 A337:A472">
    <cfRule type="duplicateValues" dxfId="2" priority="7"/>
  </conditionalFormatting>
  <conditionalFormatting sqref="A474:A1048576">
    <cfRule type="duplicateValues" dxfId="1" priority="8"/>
  </conditionalFormatting>
  <conditionalFormatting sqref="A336">
    <cfRule type="duplicateValues" dxfId="0" priority="1"/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 Juni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NISSON INDONESIA</dc:creator>
  <cp:lastModifiedBy>NISSON INDONESIA</cp:lastModifiedBy>
  <dcterms:created xsi:type="dcterms:W3CDTF">2022-08-18T08:19:34Z</dcterms:created>
  <dcterms:modified xsi:type="dcterms:W3CDTF">2022-08-18T08:19:59Z</dcterms:modified>
</cp:coreProperties>
</file>