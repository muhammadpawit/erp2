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DI (ADMIN SALES)\3. HARGA TERENDAH\2023\9. SEPTEMBER 2023\"/>
    </mc:Choice>
  </mc:AlternateContent>
  <xr:revisionPtr revIDLastSave="0" documentId="13_ncr:1_{685BF02A-6C8C-4331-999D-5940CA4F5C41}" xr6:coauthVersionLast="47" xr6:coauthVersionMax="47" xr10:uidLastSave="{00000000-0000-0000-0000-000000000000}"/>
  <bookViews>
    <workbookView xWindow="-120" yWindow="-120" windowWidth="20730" windowHeight="11160" activeTab="5" xr2:uid="{00000000-000D-0000-FFFF-FFFF00000000}"/>
  </bookViews>
  <sheets>
    <sheet name="Tabung" sheetId="7" r:id="rId1"/>
    <sheet name="Gas" sheetId="10" r:id="rId2"/>
    <sheet name="Liquid" sheetId="9" r:id="rId3"/>
    <sheet name="Nama Barang" sheetId="11" state="hidden" r:id="rId4"/>
    <sheet name="Kran" sheetId="8" r:id="rId5"/>
    <sheet name="Daftar Barang dan Jasa" sheetId="12" r:id="rId6"/>
  </sheets>
  <definedNames>
    <definedName name="_xlnm._FilterDatabase" localSheetId="5" hidden="1">'Daftar Barang dan Jasa'!$A$6:$J$6</definedName>
    <definedName name="JR_PAGE_ANCHOR_0_1">'Daftar Barang dan Jasa'!$A$1</definedName>
    <definedName name="_xlnm.Print_Area" localSheetId="1">Gas!$A$1:$E$149</definedName>
    <definedName name="_xlnm.Print_Area" localSheetId="4">Kran!$A$1:$G$95</definedName>
    <definedName name="_xlnm.Print_Area" localSheetId="2">Liquid!$A$1:$G$22</definedName>
    <definedName name="_xlnm.Print_Area" localSheetId="0">Tabung!$A$1:$H$80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47" i="12" l="1"/>
  <c r="I931" i="12"/>
  <c r="H931" i="12"/>
  <c r="I977" i="12" l="1"/>
  <c r="I975" i="12"/>
  <c r="H975" i="12"/>
  <c r="I974" i="12"/>
  <c r="H974" i="12"/>
  <c r="I973" i="12"/>
  <c r="H973" i="12"/>
  <c r="I972" i="12"/>
  <c r="H972" i="12"/>
  <c r="I971" i="12"/>
  <c r="H971" i="12"/>
  <c r="I970" i="12"/>
  <c r="H970" i="12"/>
  <c r="I969" i="12"/>
  <c r="H969" i="12"/>
  <c r="I968" i="12"/>
  <c r="H968" i="12"/>
  <c r="I967" i="12"/>
  <c r="H967" i="12"/>
  <c r="I276" i="12"/>
  <c r="H276" i="12"/>
  <c r="I966" i="12"/>
  <c r="H966" i="12"/>
  <c r="E79" i="7"/>
  <c r="D79" i="7"/>
  <c r="D52" i="7"/>
  <c r="I965" i="12"/>
  <c r="H965" i="12"/>
  <c r="I964" i="12"/>
  <c r="H964" i="12"/>
  <c r="D26" i="8"/>
  <c r="I946" i="12"/>
  <c r="I947" i="12"/>
  <c r="I948" i="12"/>
  <c r="I949" i="12"/>
  <c r="I950" i="12"/>
  <c r="I951" i="12"/>
  <c r="I952" i="12"/>
  <c r="I953" i="12"/>
  <c r="I954" i="12"/>
  <c r="I956" i="12"/>
  <c r="I957" i="12"/>
  <c r="I958" i="12"/>
  <c r="I959" i="12"/>
  <c r="I960" i="12"/>
  <c r="I961" i="12"/>
  <c r="I962" i="12"/>
  <c r="I963" i="12"/>
  <c r="H959" i="12"/>
  <c r="H963" i="12"/>
  <c r="H962" i="12"/>
  <c r="H961" i="12"/>
  <c r="H960" i="12"/>
  <c r="H958" i="12"/>
  <c r="H957" i="12"/>
  <c r="H956" i="12"/>
  <c r="H954" i="12"/>
  <c r="H953" i="12"/>
  <c r="H952" i="12"/>
  <c r="H951" i="12"/>
  <c r="H950" i="12"/>
  <c r="H949" i="12"/>
  <c r="H948" i="12"/>
  <c r="H947" i="12"/>
  <c r="H946" i="12"/>
  <c r="I876" i="12"/>
  <c r="H876" i="12"/>
  <c r="I923" i="12"/>
  <c r="I924" i="12"/>
  <c r="I925" i="12"/>
  <c r="I926" i="12"/>
  <c r="I927" i="12"/>
  <c r="I928" i="12"/>
  <c r="I929" i="12"/>
  <c r="I930" i="12"/>
  <c r="I932" i="12"/>
  <c r="I933" i="12"/>
  <c r="I934" i="12"/>
  <c r="I935" i="12"/>
  <c r="I936" i="12"/>
  <c r="I937" i="12"/>
  <c r="I938" i="12"/>
  <c r="I939" i="12"/>
  <c r="I940" i="12"/>
  <c r="I941" i="12"/>
  <c r="I942" i="12"/>
  <c r="I943" i="12"/>
  <c r="I944" i="12"/>
  <c r="I945" i="12"/>
  <c r="H945" i="12"/>
  <c r="H944" i="12"/>
  <c r="H943" i="12"/>
  <c r="H942" i="12"/>
  <c r="H941" i="12"/>
  <c r="H940" i="12"/>
  <c r="H939" i="12"/>
  <c r="H938" i="12"/>
  <c r="H937" i="12"/>
  <c r="H936" i="12"/>
  <c r="H935" i="12"/>
  <c r="H934" i="12"/>
  <c r="H933" i="12"/>
  <c r="H932" i="12"/>
  <c r="H930" i="12"/>
  <c r="H929" i="12"/>
  <c r="H928" i="12"/>
  <c r="H927" i="12"/>
  <c r="H926" i="12"/>
  <c r="H925" i="12"/>
  <c r="H924" i="12"/>
  <c r="H923" i="12"/>
  <c r="E59" i="8"/>
  <c r="D59" i="8"/>
  <c r="E49" i="8"/>
  <c r="D49" i="8"/>
  <c r="E67" i="8"/>
  <c r="D67" i="8"/>
  <c r="E61" i="7"/>
  <c r="D61" i="7"/>
  <c r="D73" i="7"/>
  <c r="D72" i="7"/>
  <c r="I921" i="12"/>
  <c r="H921" i="12"/>
  <c r="I922" i="12"/>
  <c r="H922" i="12"/>
  <c r="I920" i="12"/>
  <c r="H920" i="12"/>
  <c r="I919" i="12"/>
  <c r="H919" i="12"/>
  <c r="I918" i="12"/>
  <c r="H918" i="12"/>
  <c r="I916" i="12"/>
  <c r="H916" i="12"/>
  <c r="I917" i="12"/>
  <c r="H917" i="12"/>
  <c r="I915" i="12"/>
  <c r="H915" i="12"/>
  <c r="I914" i="12"/>
  <c r="H914" i="12"/>
  <c r="I913" i="12"/>
  <c r="H913" i="12"/>
  <c r="I912" i="12"/>
  <c r="H912" i="12"/>
  <c r="I911" i="12"/>
  <c r="H911" i="12"/>
  <c r="E33" i="8" l="1"/>
  <c r="D33" i="8"/>
  <c r="E14" i="9"/>
  <c r="D14" i="9"/>
  <c r="E93" i="8"/>
  <c r="D93" i="8"/>
  <c r="E80" i="7"/>
  <c r="D80" i="7"/>
  <c r="E77" i="7"/>
  <c r="D77" i="7"/>
  <c r="E76" i="7"/>
  <c r="D76" i="7"/>
  <c r="D6" i="8"/>
  <c r="E6" i="8"/>
  <c r="D10" i="8"/>
  <c r="E10" i="8"/>
  <c r="D11" i="8"/>
  <c r="E11" i="8"/>
  <c r="D12" i="8"/>
  <c r="E12" i="8"/>
  <c r="D16" i="8"/>
  <c r="E16" i="8"/>
  <c r="D17" i="8"/>
  <c r="E17" i="8"/>
  <c r="D18" i="8"/>
  <c r="E18" i="8"/>
  <c r="D19" i="8"/>
  <c r="E19" i="8"/>
  <c r="D20" i="8"/>
  <c r="E20" i="8"/>
  <c r="D21" i="8"/>
  <c r="E21" i="8"/>
  <c r="D22" i="8"/>
  <c r="E22" i="8"/>
  <c r="D23" i="8"/>
  <c r="E23" i="8"/>
  <c r="D24" i="8"/>
  <c r="E24" i="8"/>
  <c r="D25" i="8"/>
  <c r="E25" i="8"/>
  <c r="D28" i="8"/>
  <c r="E28" i="8"/>
  <c r="D29" i="8"/>
  <c r="E29" i="8"/>
  <c r="D30" i="8"/>
  <c r="E30" i="8"/>
  <c r="D31" i="8"/>
  <c r="E31" i="8"/>
  <c r="D32" i="8"/>
  <c r="E32" i="8"/>
  <c r="D34" i="8"/>
  <c r="E34" i="8"/>
  <c r="D35" i="8"/>
  <c r="E35" i="8"/>
  <c r="D36" i="8"/>
  <c r="E36" i="8"/>
  <c r="D37" i="8"/>
  <c r="E37" i="8"/>
  <c r="D38" i="8"/>
  <c r="E38" i="8"/>
  <c r="D39" i="8"/>
  <c r="E39" i="8"/>
  <c r="D40" i="8"/>
  <c r="E40" i="8"/>
  <c r="D41" i="8"/>
  <c r="E41" i="8"/>
  <c r="D42" i="8"/>
  <c r="E42" i="8"/>
  <c r="D43" i="8"/>
  <c r="E43" i="8"/>
  <c r="D44" i="8"/>
  <c r="E44" i="8"/>
  <c r="D45" i="8"/>
  <c r="E45" i="8"/>
  <c r="D46" i="8"/>
  <c r="E46" i="8"/>
  <c r="D47" i="8"/>
  <c r="E47" i="8"/>
  <c r="D48" i="8"/>
  <c r="E48" i="8"/>
  <c r="D50" i="8"/>
  <c r="E50" i="8"/>
  <c r="D51" i="8"/>
  <c r="E51" i="8"/>
  <c r="D52" i="8"/>
  <c r="E52" i="8"/>
  <c r="D53" i="8"/>
  <c r="E53" i="8"/>
  <c r="D54" i="8"/>
  <c r="E54" i="8"/>
  <c r="D55" i="8"/>
  <c r="E55" i="8"/>
  <c r="D56" i="8"/>
  <c r="E56" i="8"/>
  <c r="D57" i="8"/>
  <c r="E57" i="8"/>
  <c r="D58" i="8"/>
  <c r="E58" i="8"/>
  <c r="D60" i="8"/>
  <c r="E60" i="8"/>
  <c r="D61" i="8"/>
  <c r="E61" i="8"/>
  <c r="D62" i="8"/>
  <c r="E62" i="8"/>
  <c r="D63" i="8"/>
  <c r="E63" i="8"/>
  <c r="D64" i="8"/>
  <c r="E64" i="8"/>
  <c r="D65" i="8"/>
  <c r="E65" i="8"/>
  <c r="D66" i="8"/>
  <c r="E66" i="8"/>
  <c r="D68" i="8"/>
  <c r="E68" i="8"/>
  <c r="D69" i="8"/>
  <c r="E69" i="8"/>
  <c r="D70" i="8"/>
  <c r="E70" i="8"/>
  <c r="D71" i="8"/>
  <c r="E71" i="8"/>
  <c r="D72" i="8"/>
  <c r="E72" i="8"/>
  <c r="D73" i="8"/>
  <c r="E73" i="8"/>
  <c r="D74" i="8"/>
  <c r="E74" i="8"/>
  <c r="D75" i="8"/>
  <c r="E75" i="8"/>
  <c r="D76" i="8"/>
  <c r="E76" i="8"/>
  <c r="D77" i="8"/>
  <c r="E77" i="8"/>
  <c r="D78" i="8"/>
  <c r="E78" i="8"/>
  <c r="D79" i="8"/>
  <c r="E79" i="8"/>
  <c r="D80" i="8"/>
  <c r="E80" i="8"/>
  <c r="D81" i="8"/>
  <c r="E81" i="8"/>
  <c r="D82" i="8"/>
  <c r="E82" i="8"/>
  <c r="D83" i="8"/>
  <c r="E83" i="8"/>
  <c r="D84" i="8"/>
  <c r="E84" i="8"/>
  <c r="D85" i="8"/>
  <c r="E85" i="8"/>
  <c r="D86" i="8"/>
  <c r="E86" i="8"/>
  <c r="D87" i="8"/>
  <c r="E87" i="8"/>
  <c r="D88" i="8"/>
  <c r="E88" i="8"/>
  <c r="D89" i="8"/>
  <c r="E89" i="8"/>
  <c r="D90" i="8"/>
  <c r="E90" i="8"/>
  <c r="D91" i="8"/>
  <c r="E91" i="8"/>
  <c r="D92" i="8"/>
  <c r="E92" i="8"/>
  <c r="D94" i="8"/>
  <c r="E94" i="8"/>
  <c r="D95" i="8"/>
  <c r="E95" i="8"/>
  <c r="E5" i="8"/>
  <c r="D5" i="8"/>
  <c r="H538" i="12"/>
  <c r="D6" i="9"/>
  <c r="E6" i="9"/>
  <c r="D7" i="9"/>
  <c r="E7" i="9"/>
  <c r="D8" i="9"/>
  <c r="E8" i="9"/>
  <c r="D9" i="9"/>
  <c r="E9" i="9"/>
  <c r="D10" i="9"/>
  <c r="E10" i="9"/>
  <c r="D11" i="9"/>
  <c r="E11" i="9"/>
  <c r="D12" i="9"/>
  <c r="E12" i="9"/>
  <c r="D13" i="9"/>
  <c r="E13" i="9"/>
  <c r="D15" i="9"/>
  <c r="E15" i="9"/>
  <c r="D16" i="9"/>
  <c r="E16" i="9"/>
  <c r="D17" i="9"/>
  <c r="E17" i="9"/>
  <c r="D18" i="9"/>
  <c r="E18" i="9"/>
  <c r="D19" i="9"/>
  <c r="E19" i="9"/>
  <c r="D20" i="9"/>
  <c r="E20" i="9"/>
  <c r="D21" i="9"/>
  <c r="E21" i="9"/>
  <c r="E5" i="9"/>
  <c r="D5" i="9"/>
  <c r="D6" i="7"/>
  <c r="E6" i="7"/>
  <c r="D7" i="7"/>
  <c r="E7" i="7"/>
  <c r="D8" i="7"/>
  <c r="E8" i="7"/>
  <c r="D9" i="7"/>
  <c r="E9" i="7"/>
  <c r="D10" i="7"/>
  <c r="E10" i="7"/>
  <c r="D11" i="7"/>
  <c r="E11" i="7"/>
  <c r="D12" i="7"/>
  <c r="E12" i="7"/>
  <c r="D13" i="7"/>
  <c r="E13" i="7"/>
  <c r="D14" i="7"/>
  <c r="E14" i="7"/>
  <c r="D15" i="7"/>
  <c r="E15" i="7"/>
  <c r="D16" i="7"/>
  <c r="E16" i="7"/>
  <c r="D17" i="7"/>
  <c r="E17" i="7"/>
  <c r="D18" i="7"/>
  <c r="E18" i="7"/>
  <c r="D19" i="7"/>
  <c r="E19" i="7"/>
  <c r="D20" i="7"/>
  <c r="E20" i="7"/>
  <c r="D21" i="7"/>
  <c r="E21" i="7"/>
  <c r="D22" i="7"/>
  <c r="E22" i="7"/>
  <c r="D23" i="7"/>
  <c r="E23" i="7"/>
  <c r="D24" i="7"/>
  <c r="E24" i="7"/>
  <c r="D25" i="7"/>
  <c r="E25" i="7"/>
  <c r="D26" i="7"/>
  <c r="E26" i="7"/>
  <c r="D27" i="7"/>
  <c r="E27" i="7"/>
  <c r="D28" i="7"/>
  <c r="E28" i="7"/>
  <c r="D29" i="7"/>
  <c r="E29" i="7"/>
  <c r="D30" i="7"/>
  <c r="E30" i="7"/>
  <c r="D31" i="7"/>
  <c r="E31" i="7"/>
  <c r="D32" i="7"/>
  <c r="E32" i="7"/>
  <c r="D33" i="7"/>
  <c r="E33" i="7"/>
  <c r="D34" i="7"/>
  <c r="E34" i="7"/>
  <c r="D35" i="7"/>
  <c r="E35" i="7"/>
  <c r="D36" i="7"/>
  <c r="E36" i="7"/>
  <c r="D37" i="7"/>
  <c r="E37" i="7"/>
  <c r="D38" i="7"/>
  <c r="E38" i="7"/>
  <c r="D39" i="7"/>
  <c r="E39" i="7"/>
  <c r="D40" i="7"/>
  <c r="E40" i="7"/>
  <c r="D41" i="7"/>
  <c r="E41" i="7"/>
  <c r="D42" i="7"/>
  <c r="E42" i="7"/>
  <c r="D43" i="7"/>
  <c r="E43" i="7"/>
  <c r="D44" i="7"/>
  <c r="E44" i="7"/>
  <c r="D45" i="7"/>
  <c r="E45" i="7"/>
  <c r="D46" i="7"/>
  <c r="E46" i="7"/>
  <c r="D47" i="7"/>
  <c r="E47" i="7"/>
  <c r="D48" i="7"/>
  <c r="E48" i="7"/>
  <c r="D49" i="7"/>
  <c r="E49" i="7"/>
  <c r="D50" i="7"/>
  <c r="E50" i="7"/>
  <c r="D51" i="7"/>
  <c r="E51" i="7"/>
  <c r="D53" i="7"/>
  <c r="E53" i="7"/>
  <c r="D54" i="7"/>
  <c r="E54" i="7"/>
  <c r="D55" i="7"/>
  <c r="E55" i="7"/>
  <c r="D56" i="7"/>
  <c r="E56" i="7"/>
  <c r="D57" i="7"/>
  <c r="E57" i="7"/>
  <c r="D58" i="7"/>
  <c r="E58" i="7"/>
  <c r="D59" i="7"/>
  <c r="E59" i="7"/>
  <c r="D60" i="7"/>
  <c r="E60" i="7"/>
  <c r="D62" i="7"/>
  <c r="E62" i="7"/>
  <c r="D63" i="7"/>
  <c r="E63" i="7"/>
  <c r="D64" i="7"/>
  <c r="E64" i="7"/>
  <c r="D65" i="7"/>
  <c r="E65" i="7"/>
  <c r="D66" i="7"/>
  <c r="E66" i="7"/>
  <c r="D67" i="7"/>
  <c r="E67" i="7"/>
  <c r="D68" i="7"/>
  <c r="E68" i="7"/>
  <c r="D69" i="7"/>
  <c r="E69" i="7"/>
  <c r="D70" i="7"/>
  <c r="E70" i="7"/>
  <c r="D71" i="7"/>
  <c r="E71" i="7"/>
  <c r="D74" i="7"/>
  <c r="E74" i="7"/>
  <c r="D75" i="7"/>
  <c r="E75" i="7"/>
  <c r="D78" i="7"/>
  <c r="E78" i="7"/>
  <c r="E5" i="7"/>
  <c r="D5" i="7"/>
  <c r="H606" i="12"/>
  <c r="I909" i="12" l="1"/>
  <c r="H909" i="12"/>
  <c r="I908" i="12"/>
  <c r="H908" i="12"/>
  <c r="H571" i="12"/>
  <c r="I791" i="12"/>
  <c r="H791" i="12"/>
  <c r="I755" i="12"/>
  <c r="H755" i="12"/>
  <c r="I754" i="12"/>
  <c r="H754" i="12"/>
  <c r="I734" i="12"/>
  <c r="H734" i="12"/>
  <c r="I728" i="12"/>
  <c r="H728" i="12"/>
  <c r="I726" i="12"/>
  <c r="H726" i="12"/>
  <c r="I725" i="12"/>
  <c r="H725" i="12"/>
  <c r="I723" i="12"/>
  <c r="H723" i="12"/>
  <c r="I715" i="12"/>
  <c r="H715" i="12"/>
  <c r="I714" i="12"/>
  <c r="H714" i="12"/>
  <c r="I713" i="12"/>
  <c r="H713" i="12"/>
  <c r="I712" i="12"/>
  <c r="H712" i="12"/>
  <c r="I711" i="12"/>
  <c r="H711" i="12"/>
  <c r="I710" i="12"/>
  <c r="H710" i="12"/>
  <c r="I709" i="12"/>
  <c r="H709" i="12"/>
  <c r="I708" i="12"/>
  <c r="H708" i="12"/>
  <c r="I707" i="12"/>
  <c r="H707" i="12"/>
  <c r="I706" i="12"/>
  <c r="H706" i="12"/>
  <c r="I705" i="12"/>
  <c r="H705" i="12"/>
  <c r="I704" i="12"/>
  <c r="H704" i="12"/>
  <c r="I700" i="12" l="1"/>
  <c r="H700" i="12"/>
  <c r="I698" i="12"/>
  <c r="H698" i="12"/>
  <c r="I697" i="12"/>
  <c r="H697" i="12"/>
  <c r="I696" i="12"/>
  <c r="H696" i="12"/>
  <c r="I695" i="12"/>
  <c r="H695" i="12"/>
  <c r="I694" i="12"/>
  <c r="H694" i="12"/>
  <c r="H687" i="12"/>
  <c r="I759" i="12"/>
  <c r="H759" i="12"/>
  <c r="I768" i="12"/>
  <c r="H768" i="12"/>
  <c r="I778" i="12"/>
  <c r="H778" i="12"/>
  <c r="I686" i="12"/>
  <c r="H686" i="12"/>
  <c r="I685" i="12"/>
  <c r="H685" i="12"/>
  <c r="I680" i="12"/>
  <c r="H680" i="12"/>
  <c r="I672" i="12"/>
  <c r="H672" i="12"/>
  <c r="I668" i="12"/>
  <c r="H668" i="12"/>
  <c r="I666" i="12"/>
  <c r="I667" i="12"/>
  <c r="H667" i="12"/>
  <c r="H666" i="12"/>
  <c r="I665" i="12"/>
  <c r="H665" i="12"/>
  <c r="I664" i="12"/>
  <c r="H664" i="12"/>
  <c r="I663" i="12"/>
  <c r="H663" i="12"/>
  <c r="I662" i="12"/>
  <c r="H662" i="12"/>
  <c r="I661" i="12"/>
  <c r="H661" i="12"/>
  <c r="I660" i="12"/>
  <c r="H660" i="12"/>
  <c r="I659" i="12"/>
  <c r="H659" i="12"/>
  <c r="I658" i="12"/>
  <c r="H658" i="12"/>
  <c r="I825" i="12"/>
  <c r="H825" i="12"/>
  <c r="I830" i="12"/>
  <c r="H830" i="12"/>
  <c r="I840" i="12"/>
  <c r="H840" i="12"/>
  <c r="I844" i="12"/>
  <c r="H844" i="12"/>
  <c r="I855" i="12"/>
  <c r="H855" i="12"/>
  <c r="I652" i="12"/>
  <c r="H652" i="12"/>
  <c r="I651" i="12"/>
  <c r="H651" i="12"/>
  <c r="H642" i="12"/>
  <c r="I641" i="12"/>
  <c r="H641" i="12"/>
  <c r="I640" i="12"/>
  <c r="H640" i="12"/>
  <c r="H348" i="12"/>
  <c r="I821" i="12"/>
  <c r="H821" i="12"/>
  <c r="I656" i="12"/>
  <c r="H656" i="12"/>
  <c r="I655" i="12"/>
  <c r="H655" i="12"/>
  <c r="I654" i="12"/>
  <c r="H654" i="12"/>
  <c r="I650" i="12"/>
  <c r="H650" i="12"/>
  <c r="I649" i="12"/>
  <c r="H649" i="12"/>
  <c r="I767" i="12"/>
  <c r="H767" i="12"/>
  <c r="I773" i="12"/>
  <c r="H773" i="12"/>
  <c r="I774" i="12"/>
  <c r="H774" i="12"/>
  <c r="I800" i="12"/>
  <c r="H800" i="12"/>
  <c r="I809" i="12"/>
  <c r="H809" i="12"/>
  <c r="I817" i="12"/>
  <c r="H817" i="12"/>
  <c r="I838" i="12"/>
  <c r="H838" i="12"/>
  <c r="I851" i="12"/>
  <c r="H851" i="12"/>
  <c r="I638" i="12"/>
  <c r="H638" i="12"/>
  <c r="I899" i="12"/>
  <c r="H899" i="12"/>
  <c r="I897" i="12"/>
  <c r="H897" i="12"/>
  <c r="I894" i="12"/>
  <c r="H894" i="12"/>
  <c r="I630" i="12"/>
  <c r="H630" i="12"/>
  <c r="I548" i="12"/>
  <c r="I549" i="12"/>
  <c r="I550" i="12"/>
  <c r="H550" i="12"/>
  <c r="H549" i="12"/>
  <c r="H548" i="12"/>
  <c r="I545" i="12"/>
  <c r="I546" i="12"/>
  <c r="H546" i="12"/>
  <c r="H545" i="12"/>
  <c r="I456" i="12"/>
  <c r="H456" i="12"/>
  <c r="I449" i="12"/>
  <c r="I450" i="12"/>
  <c r="I451" i="12"/>
  <c r="H451" i="12"/>
  <c r="H450" i="12"/>
  <c r="H449" i="12"/>
  <c r="I448" i="12"/>
  <c r="H448" i="12"/>
  <c r="I447" i="12"/>
  <c r="H447" i="12"/>
  <c r="I428" i="12"/>
  <c r="H428" i="12"/>
  <c r="I420" i="12"/>
  <c r="H420" i="12"/>
  <c r="I411" i="12"/>
  <c r="I412" i="12"/>
  <c r="H412" i="12"/>
  <c r="H411" i="12"/>
  <c r="I409" i="12"/>
  <c r="H409" i="12"/>
  <c r="I408" i="12"/>
  <c r="H408" i="12"/>
  <c r="I407" i="12"/>
  <c r="H407" i="12"/>
  <c r="I406" i="12"/>
  <c r="H406" i="12"/>
  <c r="I405" i="12"/>
  <c r="H405" i="12"/>
  <c r="I372" i="12"/>
  <c r="H372" i="12"/>
  <c r="I368" i="12"/>
  <c r="H368" i="12"/>
  <c r="I364" i="12"/>
  <c r="H364" i="12"/>
  <c r="I363" i="12"/>
  <c r="H363" i="12"/>
  <c r="I362" i="12"/>
  <c r="H362" i="12"/>
  <c r="I361" i="12"/>
  <c r="H361" i="12"/>
  <c r="I356" i="12"/>
  <c r="H356" i="12"/>
  <c r="I352" i="12"/>
  <c r="I353" i="12"/>
  <c r="H353" i="12"/>
  <c r="H352" i="12"/>
  <c r="I347" i="12"/>
  <c r="H347" i="12"/>
  <c r="I345" i="12"/>
  <c r="H345" i="12"/>
  <c r="I341" i="12"/>
  <c r="H341" i="12"/>
  <c r="I338" i="12"/>
  <c r="H338" i="12"/>
  <c r="I335" i="12"/>
  <c r="H335" i="12"/>
  <c r="I324" i="12"/>
  <c r="I325" i="12"/>
  <c r="H325" i="12"/>
  <c r="H324" i="12"/>
  <c r="I321" i="12"/>
  <c r="H321" i="12"/>
  <c r="I320" i="12"/>
  <c r="H320" i="12"/>
  <c r="I314" i="12"/>
  <c r="H314" i="12"/>
  <c r="I296" i="12"/>
  <c r="H296" i="12"/>
  <c r="I294" i="12"/>
  <c r="H294" i="12"/>
  <c r="I293" i="12"/>
  <c r="H293" i="12"/>
  <c r="I292" i="12"/>
  <c r="H292" i="12"/>
  <c r="I270" i="12"/>
  <c r="H270" i="12"/>
  <c r="I262" i="12"/>
  <c r="H262" i="12"/>
  <c r="I246" i="12"/>
  <c r="H246" i="12"/>
  <c r="I214" i="12"/>
  <c r="H214" i="12"/>
  <c r="I210" i="12"/>
  <c r="H210" i="12"/>
  <c r="I206" i="12"/>
  <c r="H206" i="12"/>
  <c r="I205" i="12"/>
  <c r="H205" i="12"/>
  <c r="I198" i="12"/>
  <c r="H198" i="12"/>
  <c r="I192" i="12"/>
  <c r="I193" i="12"/>
  <c r="H193" i="12"/>
  <c r="H192" i="12"/>
  <c r="I189" i="12"/>
  <c r="H189" i="12"/>
  <c r="I187" i="12"/>
  <c r="H187" i="12"/>
  <c r="I183" i="12"/>
  <c r="H183" i="12"/>
  <c r="I181" i="12"/>
  <c r="H181" i="12"/>
  <c r="I180" i="12"/>
  <c r="H180" i="12"/>
  <c r="I179" i="12"/>
  <c r="H179" i="12"/>
  <c r="I165" i="12"/>
  <c r="H165" i="12"/>
  <c r="I164" i="12"/>
  <c r="H164" i="12"/>
  <c r="I163" i="12"/>
  <c r="H163" i="12"/>
  <c r="I162" i="12"/>
  <c r="H162" i="12"/>
  <c r="I145" i="12"/>
  <c r="H145" i="12"/>
  <c r="I130" i="12"/>
  <c r="H130" i="12"/>
  <c r="I129" i="12"/>
  <c r="H129" i="12"/>
  <c r="I127" i="12"/>
  <c r="H127" i="12"/>
  <c r="H108" i="12"/>
  <c r="I92" i="12"/>
  <c r="H92" i="12"/>
  <c r="I88" i="12"/>
  <c r="H88" i="12"/>
  <c r="I84" i="12"/>
  <c r="H84" i="12"/>
  <c r="I83" i="12"/>
  <c r="H83" i="12"/>
  <c r="H81" i="12"/>
  <c r="I76" i="12"/>
  <c r="H76" i="12"/>
  <c r="H71" i="12"/>
  <c r="I68" i="12"/>
  <c r="H68" i="12"/>
  <c r="I67" i="12"/>
  <c r="H67" i="12"/>
  <c r="I65" i="12"/>
  <c r="H65" i="12"/>
  <c r="I64" i="12"/>
  <c r="H64" i="12"/>
  <c r="I63" i="12"/>
  <c r="H63" i="12"/>
  <c r="I62" i="12"/>
  <c r="H62" i="12"/>
  <c r="I58" i="12"/>
  <c r="H58" i="12"/>
  <c r="I57" i="12"/>
  <c r="H57" i="12"/>
  <c r="I52" i="12"/>
  <c r="H52" i="12"/>
  <c r="I50" i="12"/>
  <c r="H50" i="12"/>
  <c r="I47" i="12"/>
  <c r="H47" i="12"/>
  <c r="I45" i="12"/>
  <c r="H45" i="12"/>
  <c r="I42" i="12"/>
  <c r="H42" i="12"/>
  <c r="I41" i="12"/>
  <c r="H41" i="12"/>
  <c r="I253" i="12"/>
  <c r="I254" i="12"/>
  <c r="H254" i="12"/>
  <c r="H253" i="12"/>
  <c r="I251" i="12"/>
  <c r="H251" i="12"/>
  <c r="I250" i="12"/>
  <c r="H250" i="12"/>
  <c r="I249" i="12"/>
  <c r="H249" i="12"/>
  <c r="I248" i="12"/>
  <c r="H248" i="12"/>
  <c r="I247" i="12"/>
  <c r="H247" i="12"/>
  <c r="I195" i="12"/>
  <c r="H195" i="12"/>
  <c r="I126" i="12"/>
  <c r="H126" i="12"/>
  <c r="I125" i="12"/>
  <c r="H125" i="12"/>
  <c r="I124" i="12"/>
  <c r="H124" i="12"/>
  <c r="I123" i="12"/>
  <c r="H123" i="12"/>
  <c r="I148" i="12"/>
  <c r="H148" i="12"/>
  <c r="I907" i="12" l="1"/>
  <c r="H907" i="12"/>
  <c r="I620" i="12"/>
  <c r="H620" i="12"/>
  <c r="I619" i="12"/>
  <c r="H619" i="12"/>
  <c r="I618" i="12"/>
  <c r="H618" i="12"/>
  <c r="I617" i="12"/>
  <c r="H617" i="12"/>
  <c r="I616" i="12"/>
  <c r="H616" i="12"/>
  <c r="I615" i="12"/>
  <c r="H615" i="12"/>
  <c r="I614" i="12"/>
  <c r="H614" i="12"/>
  <c r="I613" i="12"/>
  <c r="H613" i="12"/>
  <c r="I730" i="12" l="1"/>
  <c r="H730" i="12"/>
  <c r="I729" i="12"/>
  <c r="H729" i="12"/>
  <c r="I727" i="12"/>
  <c r="H727" i="12"/>
  <c r="I721" i="12"/>
  <c r="H721" i="12"/>
  <c r="I444" i="12"/>
  <c r="H444" i="12"/>
  <c r="I443" i="12"/>
  <c r="H443" i="12"/>
  <c r="I442" i="12"/>
  <c r="H442" i="12"/>
  <c r="I326" i="12"/>
  <c r="H326" i="12"/>
  <c r="I289" i="12"/>
  <c r="H289" i="12"/>
  <c r="I288" i="12"/>
  <c r="H288" i="12"/>
  <c r="I287" i="12"/>
  <c r="H287" i="12"/>
  <c r="I874" i="12"/>
  <c r="H874" i="12"/>
  <c r="I873" i="12"/>
  <c r="H873" i="12"/>
  <c r="I197" i="12"/>
  <c r="H197" i="12"/>
  <c r="I191" i="12"/>
  <c r="H191" i="12"/>
  <c r="I158" i="12"/>
  <c r="H158" i="12"/>
  <c r="I159" i="12"/>
  <c r="H159" i="12"/>
  <c r="I906" i="12"/>
  <c r="H906" i="12"/>
  <c r="I905" i="12"/>
  <c r="H905" i="12"/>
  <c r="I904" i="12"/>
  <c r="H904" i="12"/>
  <c r="I902" i="12"/>
  <c r="H902" i="12"/>
  <c r="I901" i="12"/>
  <c r="H901" i="12"/>
  <c r="I898" i="12"/>
  <c r="H898" i="12"/>
  <c r="I896" i="12"/>
  <c r="H896" i="12"/>
  <c r="I895" i="12"/>
  <c r="H895" i="12"/>
  <c r="I900" i="12"/>
  <c r="H900" i="12"/>
  <c r="I147" i="12"/>
  <c r="H147" i="12"/>
  <c r="I146" i="12"/>
  <c r="H146" i="12"/>
  <c r="I717" i="12"/>
  <c r="I104" i="12"/>
  <c r="I891" i="12"/>
  <c r="H891" i="12"/>
  <c r="I893" i="12"/>
  <c r="H893" i="12"/>
  <c r="I892" i="12"/>
  <c r="H892" i="12"/>
  <c r="I890" i="12"/>
  <c r="H890" i="12"/>
  <c r="I889" i="12"/>
  <c r="H889" i="12"/>
  <c r="I530" i="12"/>
  <c r="H530" i="12"/>
  <c r="I888" i="12"/>
  <c r="H888" i="12"/>
  <c r="I887" i="12"/>
  <c r="H887" i="12"/>
  <c r="I886" i="12"/>
  <c r="H886" i="12"/>
  <c r="I875" i="12"/>
  <c r="H875" i="12"/>
  <c r="I870" i="12"/>
  <c r="H870" i="12"/>
  <c r="H717" i="12" l="1"/>
  <c r="I731" i="12" l="1"/>
  <c r="H731" i="12"/>
  <c r="I724" i="12"/>
  <c r="H724" i="12"/>
  <c r="I722" i="12"/>
  <c r="H722" i="12"/>
  <c r="I864" i="12"/>
  <c r="H864" i="12"/>
  <c r="I863" i="12"/>
  <c r="H863" i="12"/>
  <c r="I862" i="12"/>
  <c r="H862" i="12"/>
  <c r="I861" i="12"/>
  <c r="H861" i="12"/>
  <c r="I860" i="12"/>
  <c r="H860" i="12"/>
  <c r="I859" i="12"/>
  <c r="H859" i="12"/>
  <c r="I858" i="12"/>
  <c r="H858" i="12"/>
  <c r="I857" i="12"/>
  <c r="H857" i="12"/>
  <c r="I856" i="12"/>
  <c r="H856" i="12"/>
  <c r="I854" i="12"/>
  <c r="H854" i="12"/>
  <c r="I853" i="12"/>
  <c r="H853" i="12"/>
  <c r="I852" i="12"/>
  <c r="H852" i="12"/>
  <c r="I850" i="12"/>
  <c r="H850" i="12"/>
  <c r="I849" i="12"/>
  <c r="H849" i="12"/>
  <c r="I848" i="12"/>
  <c r="H848" i="12"/>
  <c r="I841" i="12"/>
  <c r="H841" i="12"/>
  <c r="I839" i="12"/>
  <c r="H839" i="12"/>
  <c r="I836" i="12"/>
  <c r="H836" i="12"/>
  <c r="I837" i="12"/>
  <c r="H837" i="12"/>
  <c r="I835" i="12"/>
  <c r="H835" i="12"/>
  <c r="I834" i="12"/>
  <c r="H834" i="12"/>
  <c r="I833" i="12"/>
  <c r="H833" i="12"/>
  <c r="I832" i="12"/>
  <c r="H832" i="12"/>
  <c r="I831" i="12"/>
  <c r="H831" i="12"/>
  <c r="I829" i="12"/>
  <c r="H829" i="12"/>
  <c r="I827" i="12"/>
  <c r="H827" i="12"/>
  <c r="I828" i="12"/>
  <c r="H828" i="12"/>
  <c r="I826" i="12"/>
  <c r="H826" i="12"/>
  <c r="I824" i="12"/>
  <c r="H824" i="12"/>
  <c r="I823" i="12"/>
  <c r="H823" i="12"/>
  <c r="I822" i="12"/>
  <c r="H822" i="12"/>
  <c r="I820" i="12"/>
  <c r="H820" i="12"/>
  <c r="I819" i="12" l="1"/>
  <c r="H819" i="12"/>
  <c r="I818" i="12"/>
  <c r="H818" i="12"/>
  <c r="I816" i="12"/>
  <c r="H816" i="12"/>
  <c r="I815" i="12"/>
  <c r="H815" i="12"/>
  <c r="I814" i="12"/>
  <c r="H814" i="12"/>
  <c r="I813" i="12"/>
  <c r="H813" i="12"/>
  <c r="I812" i="12"/>
  <c r="H812" i="12"/>
  <c r="I811" i="12"/>
  <c r="H811" i="12"/>
  <c r="I810" i="12"/>
  <c r="H810" i="12"/>
  <c r="I808" i="12"/>
  <c r="H808" i="12"/>
  <c r="I807" i="12"/>
  <c r="H807" i="12"/>
  <c r="I806" i="12"/>
  <c r="H806" i="12"/>
  <c r="I805" i="12"/>
  <c r="H805" i="12"/>
  <c r="I804" i="12"/>
  <c r="H804" i="12"/>
  <c r="I797" i="12"/>
  <c r="H797" i="12"/>
  <c r="I628" i="12"/>
  <c r="H628" i="12"/>
  <c r="I627" i="12"/>
  <c r="H627" i="12"/>
  <c r="I803" i="12"/>
  <c r="H803" i="12"/>
  <c r="I802" i="12"/>
  <c r="H802" i="12"/>
  <c r="I801" i="12"/>
  <c r="H801" i="12"/>
  <c r="I799" i="12"/>
  <c r="H799" i="12"/>
  <c r="I798" i="12"/>
  <c r="H798" i="12"/>
  <c r="I796" i="12"/>
  <c r="H796" i="12"/>
  <c r="I795" i="12"/>
  <c r="H795" i="12"/>
  <c r="I794" i="12"/>
  <c r="H794" i="12"/>
  <c r="I793" i="12"/>
  <c r="I792" i="12"/>
  <c r="H792" i="12"/>
  <c r="I790" i="12"/>
  <c r="H790" i="12"/>
  <c r="I789" i="12"/>
  <c r="H789" i="12"/>
  <c r="I788" i="12"/>
  <c r="H788" i="12"/>
  <c r="I787" i="12"/>
  <c r="H787" i="12"/>
  <c r="I786" i="12"/>
  <c r="H786" i="12"/>
  <c r="I785" i="12"/>
  <c r="H785" i="12"/>
  <c r="I784" i="12"/>
  <c r="H784" i="12"/>
  <c r="I783" i="12"/>
  <c r="H783" i="12"/>
  <c r="I782" i="12"/>
  <c r="H782" i="12"/>
  <c r="I781" i="12"/>
  <c r="H781" i="12"/>
  <c r="I780" i="12"/>
  <c r="H780" i="12"/>
  <c r="I779" i="12"/>
  <c r="H779" i="12"/>
  <c r="I777" i="12"/>
  <c r="H777" i="12"/>
  <c r="I776" i="12"/>
  <c r="H776" i="12"/>
  <c r="I775" i="12"/>
  <c r="H775" i="12"/>
  <c r="I772" i="12"/>
  <c r="H772" i="12"/>
  <c r="I771" i="12"/>
  <c r="H771" i="12"/>
  <c r="I770" i="12"/>
  <c r="H770" i="12"/>
  <c r="I769" i="12"/>
  <c r="H769" i="12"/>
  <c r="I766" i="12"/>
  <c r="H766" i="12"/>
  <c r="I765" i="12"/>
  <c r="H765" i="12"/>
  <c r="I764" i="12"/>
  <c r="H764" i="12"/>
  <c r="I763" i="12"/>
  <c r="H763" i="12"/>
  <c r="I762" i="12"/>
  <c r="H762" i="12"/>
  <c r="I761" i="12"/>
  <c r="H761" i="12"/>
  <c r="I760" i="12"/>
  <c r="H760" i="12"/>
  <c r="I758" i="12"/>
  <c r="H758" i="12"/>
  <c r="I757" i="12"/>
  <c r="H757" i="12"/>
  <c r="I756" i="12"/>
  <c r="H756" i="12"/>
  <c r="I753" i="12"/>
  <c r="H753" i="12"/>
  <c r="I752" i="12"/>
  <c r="H752" i="12"/>
  <c r="I751" i="12"/>
  <c r="H751" i="12"/>
  <c r="I750" i="12"/>
  <c r="H750" i="12"/>
  <c r="I749" i="12"/>
  <c r="H749" i="12"/>
  <c r="I748" i="12"/>
  <c r="H748" i="12"/>
  <c r="I747" i="12"/>
  <c r="H747" i="12"/>
  <c r="I746" i="12"/>
  <c r="H746" i="12"/>
  <c r="I745" i="12"/>
  <c r="H745" i="12"/>
  <c r="I744" i="12"/>
  <c r="H744" i="12"/>
  <c r="I743" i="12"/>
  <c r="H743" i="12"/>
  <c r="I742" i="12"/>
  <c r="H742" i="12"/>
  <c r="H739" i="12"/>
  <c r="I739" i="12"/>
  <c r="I738" i="12"/>
  <c r="H738" i="12"/>
  <c r="I737" i="12"/>
  <c r="H737" i="12"/>
  <c r="I736" i="12"/>
  <c r="H736" i="12"/>
  <c r="I735" i="12"/>
  <c r="H735" i="12"/>
  <c r="I741" i="12"/>
  <c r="H741" i="12"/>
  <c r="I740" i="12"/>
  <c r="H740" i="12"/>
  <c r="I733" i="12"/>
  <c r="H733" i="12"/>
  <c r="I732" i="12"/>
  <c r="H732" i="12"/>
  <c r="I720" i="12"/>
  <c r="H720" i="12"/>
  <c r="I719" i="12"/>
  <c r="H719" i="12"/>
  <c r="I718" i="12"/>
  <c r="H718" i="12"/>
  <c r="I716" i="12"/>
  <c r="H716" i="12"/>
  <c r="I703" i="12"/>
  <c r="H703" i="12"/>
  <c r="I702" i="12"/>
  <c r="H702" i="12"/>
  <c r="I701" i="12"/>
  <c r="H701" i="12"/>
  <c r="I699" i="12"/>
  <c r="H699" i="12"/>
  <c r="I693" i="12"/>
  <c r="H693" i="12"/>
  <c r="I692" i="12"/>
  <c r="H692" i="12"/>
  <c r="I691" i="12"/>
  <c r="H691" i="12"/>
  <c r="I690" i="12"/>
  <c r="H690" i="12"/>
  <c r="I687" i="12"/>
  <c r="I684" i="12"/>
  <c r="H684" i="12"/>
  <c r="I671" i="12"/>
  <c r="H671" i="12"/>
  <c r="I670" i="12"/>
  <c r="H670" i="12"/>
  <c r="I669" i="12"/>
  <c r="H669" i="12"/>
  <c r="I657" i="12"/>
  <c r="H657" i="12"/>
  <c r="I653" i="12"/>
  <c r="H653" i="12"/>
  <c r="I648" i="12"/>
  <c r="H648" i="12"/>
  <c r="I647" i="12"/>
  <c r="H647" i="12"/>
  <c r="I646" i="12"/>
  <c r="H646" i="12"/>
  <c r="I645" i="12"/>
  <c r="H645" i="12"/>
  <c r="I643" i="12"/>
  <c r="H643" i="12"/>
  <c r="I642" i="12"/>
  <c r="I637" i="12"/>
  <c r="H637" i="12"/>
  <c r="I847" i="12"/>
  <c r="H847" i="12"/>
  <c r="I846" i="12"/>
  <c r="H846" i="12"/>
  <c r="I845" i="12"/>
  <c r="H845" i="12"/>
  <c r="I843" i="12"/>
  <c r="H843" i="12"/>
  <c r="I842" i="12"/>
  <c r="H842" i="12"/>
  <c r="I639" i="12"/>
  <c r="H639" i="12"/>
  <c r="I636" i="12"/>
  <c r="H636" i="12"/>
  <c r="I635" i="12"/>
  <c r="H635" i="12"/>
  <c r="I634" i="12"/>
  <c r="H634" i="12"/>
  <c r="I633" i="12"/>
  <c r="H633" i="12"/>
  <c r="I632" i="12"/>
  <c r="H632" i="12"/>
  <c r="I631" i="12"/>
  <c r="H631" i="12"/>
  <c r="I679" i="12"/>
  <c r="H679" i="12"/>
  <c r="I683" i="12"/>
  <c r="H683" i="12"/>
  <c r="I682" i="12"/>
  <c r="H682" i="12"/>
  <c r="I678" i="12"/>
  <c r="H678" i="12"/>
  <c r="I677" i="12"/>
  <c r="H677" i="12"/>
  <c r="I676" i="12"/>
  <c r="H676" i="12"/>
  <c r="I675" i="12"/>
  <c r="H675" i="12"/>
  <c r="I674" i="12"/>
  <c r="H674" i="12"/>
  <c r="I673" i="12"/>
  <c r="H673" i="12"/>
  <c r="I626" i="12"/>
  <c r="H626" i="12"/>
  <c r="I625" i="12"/>
  <c r="H625" i="12"/>
  <c r="I624" i="12"/>
  <c r="H624" i="12"/>
  <c r="I623" i="12"/>
  <c r="H623" i="12"/>
  <c r="I622" i="12"/>
  <c r="H622" i="12"/>
  <c r="I621" i="12"/>
  <c r="H621" i="12"/>
  <c r="I612" i="12"/>
  <c r="H612" i="12"/>
  <c r="I611" i="12"/>
  <c r="H611" i="12"/>
  <c r="I610" i="12"/>
  <c r="H610" i="12"/>
  <c r="I609" i="12"/>
  <c r="H609" i="12"/>
  <c r="I608" i="12"/>
  <c r="H608" i="12"/>
  <c r="I607" i="12" l="1"/>
  <c r="H607" i="12"/>
  <c r="I606" i="12"/>
  <c r="I605" i="12"/>
  <c r="H605" i="12"/>
  <c r="I604" i="12"/>
  <c r="H604" i="12"/>
  <c r="I603" i="12"/>
  <c r="H603" i="12"/>
  <c r="I602" i="12"/>
  <c r="H602" i="12"/>
  <c r="I601" i="12"/>
  <c r="H601" i="12"/>
  <c r="I600" i="12"/>
  <c r="H600" i="12"/>
  <c r="I599" i="12" l="1"/>
  <c r="H599" i="12"/>
  <c r="I598" i="12"/>
  <c r="H598" i="12"/>
  <c r="I597" i="12"/>
  <c r="H597" i="12"/>
  <c r="I596" i="12"/>
  <c r="H596" i="12"/>
  <c r="I594" i="12"/>
  <c r="H594" i="12"/>
  <c r="I593" i="12"/>
  <c r="H593" i="12"/>
  <c r="I592" i="12"/>
  <c r="H592" i="12"/>
  <c r="I591" i="12"/>
  <c r="H591" i="12"/>
  <c r="I590" i="12"/>
  <c r="H590" i="12"/>
  <c r="I589" i="12"/>
  <c r="H589" i="12"/>
  <c r="I588" i="12"/>
  <c r="H588" i="12"/>
  <c r="I587" i="12"/>
  <c r="H587" i="12"/>
  <c r="I586" i="12"/>
  <c r="H586" i="12"/>
  <c r="I585" i="12"/>
  <c r="H585" i="12"/>
  <c r="I583" i="12"/>
  <c r="H583" i="12"/>
  <c r="I584" i="12"/>
  <c r="H584" i="12"/>
  <c r="I582" i="12"/>
  <c r="H582" i="12"/>
  <c r="I581" i="12"/>
  <c r="H581" i="12"/>
  <c r="I580" i="12"/>
  <c r="H580" i="12"/>
  <c r="I579" i="12"/>
  <c r="H579" i="12"/>
  <c r="I578" i="12"/>
  <c r="H578" i="12"/>
  <c r="I577" i="12"/>
  <c r="H577" i="12"/>
  <c r="I576" i="12"/>
  <c r="H576" i="12"/>
  <c r="I575" i="12"/>
  <c r="H575" i="12"/>
  <c r="I574" i="12"/>
  <c r="H574" i="12"/>
  <c r="I573" i="12"/>
  <c r="H573" i="12"/>
  <c r="I572" i="12"/>
  <c r="H572" i="12"/>
  <c r="I571" i="12"/>
  <c r="I570" i="12"/>
  <c r="H570" i="12"/>
  <c r="I569" i="12"/>
  <c r="H569" i="12"/>
  <c r="I568" i="12"/>
  <c r="H568" i="12"/>
  <c r="I567" i="12"/>
  <c r="H567" i="12"/>
  <c r="I566" i="12"/>
  <c r="H566" i="12"/>
  <c r="I565" i="12"/>
  <c r="H565" i="12"/>
  <c r="I564" i="12"/>
  <c r="H564" i="12"/>
  <c r="I563" i="12"/>
  <c r="H563" i="12"/>
  <c r="I562" i="12"/>
  <c r="H562" i="12"/>
  <c r="I561" i="12"/>
  <c r="H561" i="12"/>
  <c r="I560" i="12" l="1"/>
  <c r="H560" i="12"/>
  <c r="I559" i="12"/>
  <c r="H559" i="12"/>
  <c r="I558" i="12"/>
  <c r="H558" i="12"/>
  <c r="I557" i="12"/>
  <c r="H557" i="12"/>
  <c r="I555" i="12"/>
  <c r="H555" i="12"/>
  <c r="I553" i="12"/>
  <c r="H553" i="12"/>
  <c r="I552" i="12"/>
  <c r="H552" i="12"/>
  <c r="I551" i="12"/>
  <c r="H551" i="12"/>
  <c r="I547" i="12"/>
  <c r="I544" i="12"/>
  <c r="H544" i="12"/>
  <c r="I543" i="12"/>
  <c r="H543" i="12"/>
  <c r="I542" i="12"/>
  <c r="H542" i="12"/>
  <c r="I541" i="12"/>
  <c r="H541" i="12"/>
  <c r="I540" i="12"/>
  <c r="H540" i="12"/>
  <c r="I539" i="12"/>
  <c r="H539" i="12"/>
  <c r="I538" i="12"/>
  <c r="I470" i="12"/>
  <c r="H470" i="12"/>
  <c r="I469" i="12"/>
  <c r="H469" i="12"/>
  <c r="I466" i="12"/>
  <c r="H466" i="12"/>
  <c r="I464" i="12" l="1"/>
  <c r="H464" i="12"/>
  <c r="I465" i="12"/>
  <c r="H465" i="12"/>
  <c r="I463" i="12"/>
  <c r="H463" i="12"/>
  <c r="I462" i="12"/>
  <c r="H462" i="12"/>
  <c r="I461" i="12"/>
  <c r="H461" i="12"/>
  <c r="I460" i="12"/>
  <c r="H460" i="12"/>
  <c r="I459" i="12"/>
  <c r="H459" i="12"/>
  <c r="I458" i="12"/>
  <c r="H458" i="12"/>
  <c r="I457" i="12"/>
  <c r="H457" i="12"/>
  <c r="I455" i="12"/>
  <c r="H455" i="12"/>
  <c r="I454" i="12"/>
  <c r="H454" i="12"/>
  <c r="I453" i="12"/>
  <c r="H453" i="12"/>
  <c r="I452" i="12"/>
  <c r="H452" i="12"/>
  <c r="I446" i="12"/>
  <c r="H446" i="12"/>
  <c r="I445" i="12"/>
  <c r="H445" i="12"/>
  <c r="I441" i="12"/>
  <c r="H441" i="12"/>
  <c r="I440" i="12"/>
  <c r="H440" i="12"/>
  <c r="I439" i="12"/>
  <c r="H439" i="12"/>
  <c r="I438" i="12"/>
  <c r="H438" i="12"/>
  <c r="I437" i="12"/>
  <c r="H437" i="12"/>
  <c r="I436" i="12"/>
  <c r="H436" i="12"/>
  <c r="I435" i="12"/>
  <c r="H435" i="12"/>
  <c r="I434" i="12"/>
  <c r="H434" i="12"/>
  <c r="I433" i="12"/>
  <c r="H433" i="12"/>
  <c r="I430" i="12"/>
  <c r="H430" i="12"/>
  <c r="I429" i="12"/>
  <c r="H429" i="12"/>
  <c r="I427" i="12"/>
  <c r="H427" i="12"/>
  <c r="I426" i="12"/>
  <c r="H426" i="12"/>
  <c r="I425" i="12"/>
  <c r="H425" i="12"/>
  <c r="I424" i="12"/>
  <c r="H424" i="12"/>
  <c r="I423" i="12"/>
  <c r="H423" i="12"/>
  <c r="I422" i="12"/>
  <c r="H422" i="12"/>
  <c r="I421" i="12"/>
  <c r="H421" i="12"/>
  <c r="I419" i="12"/>
  <c r="H419" i="12"/>
  <c r="I418" i="12"/>
  <c r="H418" i="12"/>
  <c r="I417" i="12"/>
  <c r="H417" i="12"/>
  <c r="I416" i="12"/>
  <c r="H416" i="12"/>
  <c r="I415" i="12"/>
  <c r="H415" i="12"/>
  <c r="I414" i="12"/>
  <c r="H414" i="12"/>
  <c r="I413" i="12"/>
  <c r="H413" i="12"/>
  <c r="I410" i="12"/>
  <c r="H410" i="12"/>
  <c r="I404" i="12"/>
  <c r="H404" i="12"/>
  <c r="I403" i="12"/>
  <c r="H403" i="12"/>
  <c r="I402" i="12"/>
  <c r="H402" i="12"/>
  <c r="I401" i="12"/>
  <c r="H401" i="12"/>
  <c r="I400" i="12"/>
  <c r="H400" i="12"/>
  <c r="I399" i="12"/>
  <c r="H399" i="12"/>
  <c r="I398" i="12"/>
  <c r="H398" i="12"/>
  <c r="I397" i="12"/>
  <c r="H397" i="12"/>
  <c r="I396" i="12"/>
  <c r="H396" i="12"/>
  <c r="I395" i="12"/>
  <c r="H395" i="12"/>
  <c r="I394" i="12"/>
  <c r="H394" i="12"/>
  <c r="I393" i="12"/>
  <c r="H393" i="12"/>
  <c r="I392" i="12"/>
  <c r="H392" i="12"/>
  <c r="I391" i="12"/>
  <c r="H391" i="12"/>
  <c r="I390" i="12"/>
  <c r="H390" i="12"/>
  <c r="I388" i="12"/>
  <c r="H388" i="12"/>
  <c r="I387" i="12"/>
  <c r="H387" i="12"/>
  <c r="I386" i="12"/>
  <c r="H386" i="12"/>
  <c r="I385" i="12"/>
  <c r="H385" i="12"/>
  <c r="I384" i="12"/>
  <c r="H384" i="12"/>
  <c r="I383" i="12"/>
  <c r="H383" i="12"/>
  <c r="I382" i="12"/>
  <c r="H382" i="12"/>
  <c r="I381" i="12"/>
  <c r="H381" i="12"/>
  <c r="I380" i="12"/>
  <c r="H380" i="12"/>
  <c r="I379" i="12"/>
  <c r="H379" i="12"/>
  <c r="I378" i="12"/>
  <c r="H378" i="12"/>
  <c r="I377" i="12"/>
  <c r="H377" i="12"/>
  <c r="I376" i="12"/>
  <c r="H376" i="12"/>
  <c r="I375" i="12"/>
  <c r="H375" i="12"/>
  <c r="I374" i="12"/>
  <c r="H374" i="12"/>
  <c r="I371" i="12"/>
  <c r="H371" i="12"/>
  <c r="I370" i="12"/>
  <c r="H370" i="12"/>
  <c r="I369" i="12"/>
  <c r="H369" i="12"/>
  <c r="I367" i="12"/>
  <c r="H367" i="12"/>
  <c r="I366" i="12"/>
  <c r="H366" i="12"/>
  <c r="I365" i="12"/>
  <c r="H365" i="12"/>
  <c r="I360" i="12"/>
  <c r="H360" i="12"/>
  <c r="I359" i="12"/>
  <c r="H359" i="12"/>
  <c r="I358" i="12"/>
  <c r="H358" i="12"/>
  <c r="I357" i="12"/>
  <c r="H357" i="12"/>
  <c r="I355" i="12"/>
  <c r="H355" i="12"/>
  <c r="I354" i="12"/>
  <c r="H354" i="12"/>
  <c r="I351" i="12"/>
  <c r="H351" i="12"/>
  <c r="I350" i="12"/>
  <c r="H350" i="12"/>
  <c r="I349" i="12"/>
  <c r="H349" i="12"/>
  <c r="I348" i="12"/>
  <c r="I346" i="12"/>
  <c r="H346" i="12"/>
  <c r="I344" i="12"/>
  <c r="H344" i="12"/>
  <c r="I343" i="12"/>
  <c r="H343" i="12"/>
  <c r="I342" i="12"/>
  <c r="H342" i="12"/>
  <c r="I340" i="12"/>
  <c r="H340" i="12"/>
  <c r="I339" i="12" l="1"/>
  <c r="H339" i="12"/>
  <c r="I337" i="12"/>
  <c r="H337" i="12"/>
  <c r="I336" i="12"/>
  <c r="H336" i="12"/>
  <c r="I334" i="12"/>
  <c r="H334" i="12"/>
  <c r="I333" i="12"/>
  <c r="H333" i="12"/>
  <c r="I332" i="12"/>
  <c r="H332" i="12"/>
  <c r="I328" i="12"/>
  <c r="H328" i="12"/>
  <c r="I327" i="12"/>
  <c r="H327" i="12"/>
  <c r="I323" i="12"/>
  <c r="H323" i="12"/>
  <c r="I322" i="12"/>
  <c r="H322" i="12"/>
  <c r="I319" i="12"/>
  <c r="H319" i="12"/>
  <c r="I318" i="12"/>
  <c r="H318" i="12"/>
  <c r="I317" i="12"/>
  <c r="H317" i="12"/>
  <c r="I316" i="12"/>
  <c r="H316" i="12"/>
  <c r="I315" i="12"/>
  <c r="H315" i="12"/>
  <c r="I313" i="12"/>
  <c r="H313" i="12"/>
  <c r="I312" i="12"/>
  <c r="I297" i="12"/>
  <c r="I298" i="12"/>
  <c r="I299" i="12"/>
  <c r="I300" i="12"/>
  <c r="I301" i="12"/>
  <c r="I302" i="12"/>
  <c r="I303" i="12"/>
  <c r="I304" i="12"/>
  <c r="I305" i="12"/>
  <c r="I306" i="12"/>
  <c r="I307" i="12"/>
  <c r="I308" i="12"/>
  <c r="I309" i="12"/>
  <c r="I310" i="12"/>
  <c r="I290" i="12"/>
  <c r="I291" i="12"/>
  <c r="I295" i="12"/>
  <c r="H312" i="12" l="1"/>
  <c r="I311" i="12"/>
  <c r="H311" i="12"/>
  <c r="H310" i="12"/>
  <c r="H309" i="12"/>
  <c r="H308" i="12"/>
  <c r="H307" i="12"/>
  <c r="H306" i="12"/>
  <c r="H305" i="12"/>
  <c r="H304" i="12"/>
  <c r="H303" i="12"/>
  <c r="H302" i="12"/>
  <c r="H301" i="12"/>
  <c r="H300" i="12"/>
  <c r="H299" i="12"/>
  <c r="H298" i="12"/>
  <c r="H297" i="12"/>
  <c r="H295" i="12"/>
  <c r="H291" i="12"/>
  <c r="H290" i="12"/>
  <c r="I274" i="12"/>
  <c r="I275" i="12"/>
  <c r="I278" i="12"/>
  <c r="I279" i="12"/>
  <c r="I280" i="12"/>
  <c r="I281" i="12"/>
  <c r="I282" i="12"/>
  <c r="I283" i="12"/>
  <c r="I284" i="12"/>
  <c r="I285" i="12"/>
  <c r="I286" i="12"/>
  <c r="H286" i="12"/>
  <c r="H285" i="12"/>
  <c r="H284" i="12"/>
  <c r="H283" i="12"/>
  <c r="H282" i="12"/>
  <c r="H281" i="12"/>
  <c r="H280" i="12"/>
  <c r="H279" i="12"/>
  <c r="H278" i="12"/>
  <c r="H275" i="12"/>
  <c r="H274" i="12"/>
  <c r="I252" i="12"/>
  <c r="I255" i="12"/>
  <c r="I256" i="12"/>
  <c r="I257" i="12"/>
  <c r="I258" i="12"/>
  <c r="I259" i="12"/>
  <c r="I260" i="12"/>
  <c r="I261" i="12"/>
  <c r="I263" i="12"/>
  <c r="I264" i="12"/>
  <c r="I265" i="12"/>
  <c r="I266" i="12"/>
  <c r="I267" i="12"/>
  <c r="I268" i="12"/>
  <c r="I269" i="12"/>
  <c r="I271" i="12"/>
  <c r="I272" i="12"/>
  <c r="I273" i="12"/>
  <c r="H273" i="12"/>
  <c r="H272" i="12"/>
  <c r="H271" i="12"/>
  <c r="H269" i="12"/>
  <c r="H268" i="12"/>
  <c r="H267" i="12"/>
  <c r="H266" i="12"/>
  <c r="H265" i="12"/>
  <c r="H264" i="12"/>
  <c r="H263" i="12"/>
  <c r="H261" i="12"/>
  <c r="H260" i="12"/>
  <c r="H259" i="12"/>
  <c r="H258" i="12"/>
  <c r="H257" i="12"/>
  <c r="H256" i="12"/>
  <c r="H255" i="12"/>
  <c r="H252" i="12"/>
  <c r="I234" i="12"/>
  <c r="I235" i="12"/>
  <c r="I236" i="12"/>
  <c r="I237" i="12"/>
  <c r="I238" i="12"/>
  <c r="I239" i="12"/>
  <c r="I240" i="12"/>
  <c r="I241" i="12"/>
  <c r="I242" i="12"/>
  <c r="I243" i="12"/>
  <c r="I244" i="12"/>
  <c r="I245" i="12"/>
  <c r="H245" i="12"/>
  <c r="H244" i="12"/>
  <c r="H243" i="12"/>
  <c r="H242" i="12"/>
  <c r="H241" i="12"/>
  <c r="H240" i="12"/>
  <c r="H239" i="12"/>
  <c r="H238" i="12"/>
  <c r="H237" i="12"/>
  <c r="H236" i="12"/>
  <c r="H235" i="12"/>
  <c r="H234" i="12"/>
  <c r="I229" i="12"/>
  <c r="I231" i="12"/>
  <c r="I232" i="12"/>
  <c r="I233" i="12"/>
  <c r="H233" i="12"/>
  <c r="H232" i="12"/>
  <c r="H231" i="12"/>
  <c r="H229" i="12"/>
  <c r="I222" i="12"/>
  <c r="I223" i="12"/>
  <c r="I224" i="12"/>
  <c r="I225" i="12"/>
  <c r="I226" i="12"/>
  <c r="I227" i="12"/>
  <c r="I228" i="12"/>
  <c r="H228" i="12"/>
  <c r="H227" i="12"/>
  <c r="H226" i="12"/>
  <c r="H225" i="12"/>
  <c r="H224" i="12"/>
  <c r="H223" i="12"/>
  <c r="H222" i="12"/>
  <c r="I218" i="12"/>
  <c r="I219" i="12"/>
  <c r="I220" i="12"/>
  <c r="I221" i="12"/>
  <c r="H221" i="12"/>
  <c r="H220" i="12"/>
  <c r="H219" i="12"/>
  <c r="H218" i="12"/>
  <c r="I215" i="12"/>
  <c r="I216" i="12"/>
  <c r="I217" i="12"/>
  <c r="H217" i="12"/>
  <c r="H216" i="12"/>
  <c r="H215" i="12"/>
  <c r="I211" i="12" l="1"/>
  <c r="I212" i="12"/>
  <c r="I213" i="12"/>
  <c r="H213" i="12"/>
  <c r="H212" i="12"/>
  <c r="H211" i="12"/>
  <c r="I209" i="12"/>
  <c r="H209" i="12"/>
  <c r="I208" i="12"/>
  <c r="H208" i="12"/>
  <c r="I207" i="12"/>
  <c r="H207" i="12"/>
  <c r="I204" i="12"/>
  <c r="H204" i="12"/>
  <c r="I203" i="12"/>
  <c r="H203" i="12"/>
  <c r="I202" i="12"/>
  <c r="H202" i="12"/>
  <c r="I201" i="12"/>
  <c r="H201" i="12"/>
  <c r="I199" i="12"/>
  <c r="I200" i="12"/>
  <c r="H200" i="12"/>
  <c r="H199" i="12"/>
  <c r="I196" i="12"/>
  <c r="H196" i="12"/>
  <c r="I194" i="12"/>
  <c r="H194" i="12"/>
  <c r="I97" i="12"/>
  <c r="H97" i="12"/>
  <c r="I188" i="12" l="1"/>
  <c r="H188" i="12"/>
  <c r="I186" i="12"/>
  <c r="H186" i="12"/>
  <c r="I185" i="12"/>
  <c r="H185" i="12"/>
  <c r="I184" i="12"/>
  <c r="H184" i="12"/>
  <c r="I182" i="12"/>
  <c r="H182" i="12"/>
  <c r="I178" i="12"/>
  <c r="H178" i="12"/>
  <c r="I177" i="12"/>
  <c r="H177" i="12"/>
  <c r="I176" i="12"/>
  <c r="H176" i="12"/>
  <c r="I175" i="12"/>
  <c r="H175" i="12"/>
  <c r="I174" i="12"/>
  <c r="H174" i="12"/>
  <c r="I173" i="12"/>
  <c r="H173" i="12"/>
  <c r="I172" i="12"/>
  <c r="H172" i="12"/>
  <c r="I171" i="12"/>
  <c r="H171" i="12"/>
  <c r="I170" i="12"/>
  <c r="H170" i="12"/>
  <c r="I169" i="12"/>
  <c r="H169" i="12"/>
  <c r="I168" i="12"/>
  <c r="H168" i="12"/>
  <c r="I167" i="12"/>
  <c r="H167" i="12"/>
  <c r="I166" i="12"/>
  <c r="H166" i="12"/>
  <c r="I161" i="12"/>
  <c r="H161" i="12"/>
  <c r="I160" i="12"/>
  <c r="H160" i="12"/>
  <c r="I157" i="12"/>
  <c r="H157" i="12"/>
  <c r="I156" i="12"/>
  <c r="H156" i="12"/>
  <c r="I155" i="12"/>
  <c r="H155" i="12"/>
  <c r="I154" i="12"/>
  <c r="H154" i="12"/>
  <c r="I153" i="12"/>
  <c r="H153" i="12"/>
  <c r="I152" i="12"/>
  <c r="H152" i="12"/>
  <c r="I151" i="12"/>
  <c r="H151" i="12"/>
  <c r="I150" i="12"/>
  <c r="H150" i="12"/>
  <c r="I144" i="12"/>
  <c r="H144" i="12"/>
  <c r="I143" i="12"/>
  <c r="H143" i="12"/>
  <c r="I142" i="12"/>
  <c r="H142" i="12"/>
  <c r="I141" i="12"/>
  <c r="H141" i="12"/>
  <c r="I140" i="12"/>
  <c r="H140" i="12"/>
  <c r="I139" i="12"/>
  <c r="H139" i="12"/>
  <c r="I138" i="12"/>
  <c r="H138" i="12"/>
  <c r="I137" i="12"/>
  <c r="H137" i="12"/>
  <c r="I136" i="12"/>
  <c r="H136" i="12"/>
  <c r="I135" i="12"/>
  <c r="H135" i="12"/>
  <c r="I134" i="12"/>
  <c r="H134" i="12"/>
  <c r="I133" i="12"/>
  <c r="H133" i="12"/>
  <c r="I132" i="12"/>
  <c r="H132" i="12"/>
  <c r="I131" i="12"/>
  <c r="H131" i="12"/>
  <c r="I128" i="12"/>
  <c r="H128" i="12"/>
  <c r="I122" i="12"/>
  <c r="H122" i="12"/>
  <c r="I121" i="12"/>
  <c r="H121" i="12"/>
  <c r="I120" i="12"/>
  <c r="H120" i="12"/>
  <c r="I119" i="12"/>
  <c r="H119" i="12"/>
  <c r="I118" i="12"/>
  <c r="H118" i="12"/>
  <c r="I117" i="12"/>
  <c r="H117" i="12"/>
  <c r="I116" i="12"/>
  <c r="H116" i="12"/>
  <c r="I115" i="12"/>
  <c r="H115" i="12"/>
  <c r="I114" i="12"/>
  <c r="H114" i="12"/>
  <c r="I113" i="12"/>
  <c r="H113" i="12"/>
  <c r="I112" i="12"/>
  <c r="H112" i="12"/>
  <c r="I111" i="12"/>
  <c r="H111" i="12"/>
  <c r="I110" i="12"/>
  <c r="H110" i="12"/>
  <c r="I109" i="12"/>
  <c r="H109" i="12"/>
  <c r="I108" i="12"/>
  <c r="I107" i="12"/>
  <c r="H107" i="12"/>
  <c r="I106" i="12"/>
  <c r="H106" i="12"/>
  <c r="I105" i="12"/>
  <c r="H105" i="12"/>
  <c r="H104" i="12"/>
  <c r="I103" i="12"/>
  <c r="H103" i="12"/>
  <c r="I102" i="12"/>
  <c r="H102" i="12"/>
  <c r="I101" i="12"/>
  <c r="H101" i="12"/>
  <c r="I100" i="12"/>
  <c r="H100" i="12"/>
  <c r="I99" i="12"/>
  <c r="H99" i="12"/>
  <c r="I98" i="12"/>
  <c r="H98" i="12"/>
  <c r="I96" i="12"/>
  <c r="H96" i="12"/>
  <c r="I95" i="12"/>
  <c r="H95" i="12"/>
  <c r="I94" i="12"/>
  <c r="H94" i="12"/>
  <c r="I93" i="12"/>
  <c r="H93" i="12"/>
  <c r="I91" i="12"/>
  <c r="H91" i="12"/>
  <c r="I90" i="12"/>
  <c r="H90" i="12"/>
  <c r="I89" i="12"/>
  <c r="H89" i="12"/>
  <c r="I87" i="12"/>
  <c r="H87" i="12"/>
  <c r="I86" i="12"/>
  <c r="H86" i="12"/>
  <c r="I85" i="12"/>
  <c r="H85" i="12"/>
  <c r="I82" i="12"/>
  <c r="H82" i="12"/>
  <c r="I81" i="12"/>
  <c r="I80" i="12"/>
  <c r="H80" i="12"/>
  <c r="I79" i="12"/>
  <c r="H79" i="12"/>
  <c r="I78" i="12"/>
  <c r="H78" i="12"/>
  <c r="I77" i="12"/>
  <c r="H77" i="12"/>
  <c r="I75" i="12"/>
  <c r="H75" i="12"/>
  <c r="I74" i="12"/>
  <c r="H74" i="12"/>
  <c r="I72" i="12"/>
  <c r="H72" i="12"/>
  <c r="I73" i="12"/>
  <c r="H73" i="12"/>
  <c r="I71" i="12"/>
  <c r="I70" i="12"/>
  <c r="H70" i="12"/>
  <c r="I69" i="12"/>
  <c r="H69" i="12"/>
  <c r="I66" i="12"/>
  <c r="H66" i="12"/>
  <c r="I61" i="12"/>
  <c r="H61" i="12"/>
  <c r="I60" i="12"/>
  <c r="H60" i="12"/>
  <c r="I59" i="12"/>
  <c r="H59" i="12"/>
  <c r="I56" i="12"/>
  <c r="H56" i="12"/>
  <c r="I54" i="12"/>
  <c r="H54" i="12"/>
  <c r="I53" i="12"/>
  <c r="H53" i="12"/>
  <c r="I51" i="12"/>
  <c r="H51" i="12"/>
  <c r="I49" i="12"/>
  <c r="H49" i="12"/>
  <c r="I48" i="12"/>
  <c r="H48" i="12"/>
  <c r="I46" i="12"/>
  <c r="H46" i="12"/>
  <c r="I44" i="12"/>
  <c r="H44" i="12"/>
  <c r="I43" i="12"/>
  <c r="H43" i="12"/>
  <c r="I40" i="12"/>
  <c r="H40" i="12"/>
  <c r="I39" i="12"/>
  <c r="H39" i="12"/>
  <c r="I38" i="12"/>
  <c r="H38" i="12"/>
  <c r="I36" i="12"/>
  <c r="H36" i="12"/>
  <c r="I35" i="12"/>
  <c r="H35" i="12"/>
  <c r="I34" i="12"/>
  <c r="H34" i="12"/>
  <c r="I33" i="12"/>
  <c r="H33" i="12"/>
  <c r="I32" i="12"/>
  <c r="H32" i="12"/>
  <c r="I31" i="12"/>
  <c r="H31" i="12"/>
  <c r="I30" i="12"/>
  <c r="H30" i="12"/>
  <c r="I29" i="12"/>
  <c r="H29" i="12"/>
  <c r="I28" i="12"/>
  <c r="H28" i="12"/>
  <c r="I27" i="12"/>
  <c r="H27" i="12"/>
  <c r="I26" i="12"/>
  <c r="H26" i="12"/>
  <c r="I25" i="12"/>
  <c r="H25" i="12"/>
  <c r="I24" i="12"/>
  <c r="H24" i="12"/>
  <c r="I23" i="12"/>
  <c r="H23" i="12"/>
  <c r="I22" i="12"/>
  <c r="H22" i="12"/>
  <c r="I21" i="12"/>
  <c r="H21" i="12"/>
  <c r="I20" i="12"/>
  <c r="H20" i="12"/>
  <c r="I19" i="12"/>
  <c r="H19" i="12"/>
  <c r="I18" i="12"/>
  <c r="H18" i="12"/>
  <c r="I17" i="12"/>
  <c r="H17" i="12"/>
  <c r="I16" i="12"/>
  <c r="H16" i="12"/>
  <c r="I15" i="12"/>
  <c r="H15" i="12"/>
  <c r="I14" i="12"/>
  <c r="H14" i="12"/>
  <c r="I13" i="12"/>
  <c r="H13" i="12"/>
  <c r="I12" i="12"/>
  <c r="H12" i="12"/>
  <c r="I11" i="12"/>
  <c r="H11" i="12"/>
  <c r="I10" i="12"/>
  <c r="H10" i="12"/>
  <c r="I9" i="12"/>
  <c r="H9" i="12"/>
  <c r="I8" i="12"/>
  <c r="H8" i="12"/>
  <c r="H688" i="12"/>
  <c r="I688" i="12"/>
  <c r="I681" i="12"/>
  <c r="H681" i="12"/>
  <c r="I7" i="12"/>
  <c r="H7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NISSON INDONESIA</author>
  </authors>
  <commentList>
    <comment ref="A76" authorId="0" shapeId="0" xr:uid="{55B86CD1-B73A-42FC-B7E8-AE3B77186278}">
      <text>
        <r>
          <rPr>
            <b/>
            <sz val="9"/>
            <color indexed="81"/>
            <rFont val="Tahoma"/>
            <family val="2"/>
          </rPr>
          <t xml:space="preserve">PEMBATAS
</t>
        </r>
      </text>
    </comment>
  </commentList>
</comments>
</file>

<file path=xl/sharedStrings.xml><?xml version="1.0" encoding="utf-8"?>
<sst xmlns="http://schemas.openxmlformats.org/spreadsheetml/2006/main" count="6361" uniqueCount="2692">
  <si>
    <t>Aceton 4kg</t>
  </si>
  <si>
    <t>As Pen Kran Acetylene CR</t>
  </si>
  <si>
    <t>Aspen Monel Acy</t>
  </si>
  <si>
    <t>Cryogenic Hand Pump</t>
  </si>
  <si>
    <t>Cryogenic Meter 175L</t>
  </si>
  <si>
    <t>Cryogenic Pressure Gauge 600psi NPT 1/4</t>
  </si>
  <si>
    <t>Cryogenic Pump Part P200-005</t>
  </si>
  <si>
    <t>Cryogenic Pump Part P200-006</t>
  </si>
  <si>
    <t>Cryogenic Pump Part P200-007</t>
  </si>
  <si>
    <t>Cryogenic Valve Repair Kit</t>
  </si>
  <si>
    <t>Gas Acetylene HP 3 Kg</t>
  </si>
  <si>
    <t>Gas Acetylene UHP 3 Kg</t>
  </si>
  <si>
    <t>Gas Carbondioxide 30 Kg</t>
  </si>
  <si>
    <t>Gas Carbondioxide 9 kg</t>
  </si>
  <si>
    <t>Gas Carbonmonoxide 6 M3</t>
  </si>
  <si>
    <t>Handwheel Kran</t>
  </si>
  <si>
    <t>Handwheel Kran SV</t>
  </si>
  <si>
    <t>Kran Argon BaruType PX-35 SA</t>
  </si>
  <si>
    <t>Kran Hydrogen Baru Type DN</t>
  </si>
  <si>
    <t>Kran Karbonmonoksida Baru</t>
  </si>
  <si>
    <t>Kran Oxygen Baru Type F-4 W</t>
  </si>
  <si>
    <t>Kran Oxygen Baru Type QF-2G1 SGA CR</t>
  </si>
  <si>
    <t>Liquid Carbondioxide Food Grade 210L</t>
  </si>
  <si>
    <t>Liquid Level VGL 175 L m 18x2 LIN</t>
  </si>
  <si>
    <t>Liquid Level VGL 175 L m 18x2 LOX</t>
  </si>
  <si>
    <t>Liquid Level VGL 175 L m 20x1,5 LAR</t>
  </si>
  <si>
    <t>Liquid Level VGL 175 L m 20x1,5 LCO2</t>
  </si>
  <si>
    <t>Liquid Level VGL 175 L m 20x1,5 LIN</t>
  </si>
  <si>
    <t>Liquid Level VGL 175 L m 20x1,5 LNG</t>
  </si>
  <si>
    <t>Liquid Level VGL 175 L m 20x1,5 LOX</t>
  </si>
  <si>
    <t>Liquid Nitrogen 10L</t>
  </si>
  <si>
    <t>Liquid Nitrogen 20L</t>
  </si>
  <si>
    <t>Liquid Nitrogen 30L</t>
  </si>
  <si>
    <t>Liquid Nitrogen 360L</t>
  </si>
  <si>
    <t>Liquid Nitrogen 3L</t>
  </si>
  <si>
    <t>Liquid Nitrogen 50L</t>
  </si>
  <si>
    <t>Liquid Nitrogen 6L</t>
  </si>
  <si>
    <t>Liquid Oxygen 175L</t>
  </si>
  <si>
    <t>Liquid Oxygen 360L</t>
  </si>
  <si>
    <t>Mixed Gas (60% CO + 40% CO2)</t>
  </si>
  <si>
    <t>Nasal Canula</t>
  </si>
  <si>
    <t>Regulator Gas Acetylene</t>
  </si>
  <si>
    <t>Regulator Gas Acetylene Morris</t>
  </si>
  <si>
    <t>Regulator Gas Oxygen Medical Cosmo Med</t>
  </si>
  <si>
    <t>Regulator Gas Oxygen Medical Onemed</t>
  </si>
  <si>
    <t>Regulator Gas Oxygen Welding Morris</t>
  </si>
  <si>
    <t>Tabung Gas Baru SF6 Plus Isi 50 Kg</t>
  </si>
  <si>
    <t>Troli UNION 1 M3</t>
  </si>
  <si>
    <t>Troli UNION 1.5 M3</t>
  </si>
  <si>
    <t>Troli UNION 2 M3</t>
  </si>
  <si>
    <t>Troli UNION 6 M3</t>
  </si>
  <si>
    <t>Tutup Tabung Acetylene Plastik</t>
  </si>
  <si>
    <t>Tutup Tabung Baja Standard</t>
  </si>
  <si>
    <t>Tutup Tulip Plastik</t>
  </si>
  <si>
    <t>Liquid Argon 175L VGL</t>
  </si>
  <si>
    <t>NO</t>
  </si>
  <si>
    <t>NAMA BARANG</t>
  </si>
  <si>
    <t>TABUNG</t>
  </si>
  <si>
    <t>Tabung CO2 4Kg (kosong/kran QF-2A6) Tutup Besi Standard</t>
  </si>
  <si>
    <t>Tabung VGL 80L-23Bar (Cryogenic Cylinder)</t>
  </si>
  <si>
    <t>Tabung VGL 175L-23Bar (Cryogenic Cylinder)</t>
  </si>
  <si>
    <t>Tabung VGL 210L-23Bar (Cryogenic Cylinder)</t>
  </si>
  <si>
    <t>Tabung VGL 360L-20Bar (Cryogenic Cylinder)w/cradle</t>
  </si>
  <si>
    <t>Tabung VGL 500L-23Bar (Cryogenic Cylinder)w/cradle</t>
  </si>
  <si>
    <t>Tabung HGL 500L-25Bar (Cryogenic Cylinder)w/cradle</t>
  </si>
  <si>
    <t>Vaporizer 30M3-35Bar</t>
  </si>
  <si>
    <t>Vaporizer 50M3-35Bar</t>
  </si>
  <si>
    <t>Vaporizer 100M3-35Bar</t>
  </si>
  <si>
    <t>Optional Vaporizer Gas Outlet 4 pcs</t>
  </si>
  <si>
    <t>Optional Vaporizer Liquid Inlet 3 pcs</t>
  </si>
  <si>
    <t>Dewar 3L (Cryogenic Container)</t>
  </si>
  <si>
    <t>Dewar 6L (Cryogenic Container)</t>
  </si>
  <si>
    <t>Dewar 10L (Cryogenic Container)</t>
  </si>
  <si>
    <t>Dewar 20L (Cryogenic Container)</t>
  </si>
  <si>
    <t>Dewar 30L (Cryogenic Container)</t>
  </si>
  <si>
    <t>Dewar 35L (Cryogenic Container)</t>
  </si>
  <si>
    <t>Dewar 50L (Cryogenic Container)</t>
  </si>
  <si>
    <t>Kran</t>
  </si>
  <si>
    <t>LIQUID</t>
  </si>
  <si>
    <t>TANGGERANG</t>
  </si>
  <si>
    <t>SURABAYA</t>
  </si>
  <si>
    <t>Kran Nitrous Oxide</t>
  </si>
  <si>
    <t>Liquid Nitrogen 175L VGL</t>
  </si>
  <si>
    <t>Liquid Nitrogen 50L Dewar</t>
  </si>
  <si>
    <t>Selang Cryogenic Liquid 1 Meter</t>
  </si>
  <si>
    <t>Selang Cryogenic Liquid 3 Meter</t>
  </si>
  <si>
    <t>Liquid Level Meter VGL 175L LOX/LIN/LAR/LCO2/LNG</t>
  </si>
  <si>
    <t>Presure Gauge VGL 600 psi</t>
  </si>
  <si>
    <t>Gas Acetylene 3 Kg + Aceton 5 Kg</t>
  </si>
  <si>
    <t>Tabung VGL 175L-35Bar (Cryogenic Cylinder)</t>
  </si>
  <si>
    <t>Dewar 2L (Cryogenic Container)</t>
  </si>
  <si>
    <t>Kran Oksigen QF-2G1</t>
  </si>
  <si>
    <t>Kran Oksigen QF-2G1 SV</t>
  </si>
  <si>
    <t>Kran Oksigen QF-2G1 Lepasan</t>
  </si>
  <si>
    <t>Kran Oksigen QF-2G1 SV Lepasan</t>
  </si>
  <si>
    <t>Kran Oksigen QF-6B 200Bar Lepasan</t>
  </si>
  <si>
    <t>Kran Carbondioxide QF-2A6</t>
  </si>
  <si>
    <t>Kran Carbondioxide QF-2A6 SV</t>
  </si>
  <si>
    <t>Kran Carbondioxide QF-2A6 Lepasan</t>
  </si>
  <si>
    <t>Kran Acetylene Baru Type PF5-1</t>
  </si>
  <si>
    <t>Kran Hidrogen QF-30</t>
  </si>
  <si>
    <t>Kran RPV PX-35</t>
  </si>
  <si>
    <t>Kran Oksigen QF-2G1 Chrome</t>
  </si>
  <si>
    <t>Opsi lepas Kran Oxygen/CO2 yang terpasang di tabung</t>
  </si>
  <si>
    <t>Regulator Oksigen Medis BMD</t>
  </si>
  <si>
    <t>Selang Tembaga Manifold 1 meter</t>
  </si>
  <si>
    <t>Selang Tembaga Manifold 1,5 meter</t>
  </si>
  <si>
    <t>Manifold Pengisian 5 titik</t>
  </si>
  <si>
    <t>Manifold Pengisian 6 titik</t>
  </si>
  <si>
    <t>Manifold Pengisian 10 titik</t>
  </si>
  <si>
    <t>Troley 0.5 m3</t>
  </si>
  <si>
    <t>Troley 1 m3</t>
  </si>
  <si>
    <t>Troley 1,5 m3 dan 2 m3</t>
  </si>
  <si>
    <t>Troley 6 m3 atau Troley 7 m3</t>
  </si>
  <si>
    <t>Tutup Tabung Baja Tulip</t>
  </si>
  <si>
    <t>Biaya Cat Tutup</t>
  </si>
  <si>
    <t>Biaya Cat Tabung</t>
  </si>
  <si>
    <t>Cradle Tabung VGL 175L-210L</t>
  </si>
  <si>
    <t>Liquid Oxygen 175L VGL</t>
  </si>
  <si>
    <t>Liquid Oxygen 210L VGL</t>
  </si>
  <si>
    <t>Liquid Oxygen 360L VGL</t>
  </si>
  <si>
    <t>Liquid Nitrogen 210L VGL</t>
  </si>
  <si>
    <t>Liquid Nitrogen 3L Dewar</t>
  </si>
  <si>
    <t>Liquid Nitrogen 6L Dewar</t>
  </si>
  <si>
    <t>Liquid Nitrogen 10L Dewar</t>
  </si>
  <si>
    <t>Liquid Nitrogen 20L Dewar</t>
  </si>
  <si>
    <t>Liquid Nitrogen 30L Dewar</t>
  </si>
  <si>
    <t>GAS</t>
  </si>
  <si>
    <t>Gas Oksigen 0,3 m3</t>
  </si>
  <si>
    <t>Gas Oksigen 0,5 m3</t>
  </si>
  <si>
    <t>Gas Oksigen 1,5 m3</t>
  </si>
  <si>
    <t>Gas Oksigen 2 m3</t>
  </si>
  <si>
    <r>
      <t xml:space="preserve">Gas Nitrogen 10 m3 - </t>
    </r>
    <r>
      <rPr>
        <b/>
        <sz val="12"/>
        <rFont val="Carlito"/>
      </rPr>
      <t>WG</t>
    </r>
    <r>
      <rPr>
        <sz val="12"/>
        <rFont val="Carlito"/>
      </rPr>
      <t xml:space="preserve"> (50L-200Bar)</t>
    </r>
  </si>
  <si>
    <t>Gas Udara Tekan 1M3</t>
  </si>
  <si>
    <t>Gas Udara Tekan 1,5M3 dan 2M3</t>
  </si>
  <si>
    <t>Gas Udara Tekan 6m3 dan 7m3</t>
  </si>
  <si>
    <t>Gas Udara Tekan 10m3 HP (50L-200Bar) (+400rb/order)</t>
  </si>
  <si>
    <t>Gas Udara Tekan 10m3 UHP (50L-200Bar) (+400rb/order)</t>
  </si>
  <si>
    <t>Gas Udara Tekan 10 m3 - WG (68L-150Bar)</t>
  </si>
  <si>
    <r>
      <t xml:space="preserve">Gas Helium 0,5 M3 </t>
    </r>
    <r>
      <rPr>
        <b/>
        <sz val="12"/>
        <rFont val="Carlito"/>
      </rPr>
      <t>UHP</t>
    </r>
  </si>
  <si>
    <r>
      <t xml:space="preserve">Gas Helium 1 M3 </t>
    </r>
    <r>
      <rPr>
        <b/>
        <sz val="12"/>
        <rFont val="Carlito"/>
      </rPr>
      <t>UHP</t>
    </r>
  </si>
  <si>
    <t>tidak tersedia</t>
  </si>
  <si>
    <r>
      <t xml:space="preserve">Gas Carbondioxide CO2 10 m3 (40Kg) </t>
    </r>
    <r>
      <rPr>
        <b/>
        <sz val="12"/>
        <rFont val="Carlito"/>
      </rPr>
      <t>Industri Grade</t>
    </r>
  </si>
  <si>
    <r>
      <t xml:space="preserve">Gas Carbondioxide CO2 0,5m3 (3Kg) </t>
    </r>
    <r>
      <rPr>
        <b/>
        <sz val="12"/>
        <rFont val="Carlito"/>
      </rPr>
      <t>Food Grade</t>
    </r>
  </si>
  <si>
    <r>
      <t xml:space="preserve">Gas Carbondioxide CO2 6 m3 (15Kg) </t>
    </r>
    <r>
      <rPr>
        <b/>
        <sz val="12"/>
        <rFont val="Carlito"/>
      </rPr>
      <t>Food Grade</t>
    </r>
  </si>
  <si>
    <t>Gas Carbondioxide CO2 6m3 (45Kg) Food Grade</t>
  </si>
  <si>
    <t>Gas Nitrousoxide N2O 1m3  (4Kg)</t>
  </si>
  <si>
    <t>Gas Nitrousoxide N2O 1,5m3  (6Kg)</t>
  </si>
  <si>
    <t>Gas Nitrousoxide N2O 2m3  (8Kg)</t>
  </si>
  <si>
    <t>Gas Nitrousoxide N2O 6m3 dan 7m3  (15Kg)</t>
  </si>
  <si>
    <t>Gas Nitrousoxide N2O 6m3 dan 7m3  (20Kg)</t>
  </si>
  <si>
    <t>Gas Nitrousoxide N2O 6m3 dan 7m3  (25Kg)</t>
  </si>
  <si>
    <r>
      <t xml:space="preserve">Gas Argon 3 m3 </t>
    </r>
    <r>
      <rPr>
        <b/>
        <sz val="12"/>
        <rFont val="Carlito"/>
      </rPr>
      <t>WG</t>
    </r>
  </si>
  <si>
    <t>Gas Argon Mix CO2 6m3</t>
  </si>
  <si>
    <t>Gas Acetylene WG + Acetone 4Kg</t>
  </si>
  <si>
    <t>Gas Acetylene WG + Aceton 6 Kg</t>
  </si>
  <si>
    <r>
      <t xml:space="preserve">Gas Hidrogen 1,5M3 </t>
    </r>
    <r>
      <rPr>
        <b/>
        <sz val="12"/>
        <rFont val="Carlito"/>
      </rPr>
      <t>WG</t>
    </r>
  </si>
  <si>
    <r>
      <t xml:space="preserve">Gas Hidrogen 7M3 </t>
    </r>
    <r>
      <rPr>
        <b/>
        <sz val="12"/>
        <rFont val="Carlito"/>
      </rPr>
      <t>UHP</t>
    </r>
  </si>
  <si>
    <t xml:space="preserve">Aceton 6 Kg </t>
  </si>
  <si>
    <r>
      <t xml:space="preserve">Gas Oksigen 6 m3 </t>
    </r>
    <r>
      <rPr>
        <b/>
        <sz val="12"/>
        <rFont val="Carlito"/>
      </rPr>
      <t>WG</t>
    </r>
  </si>
  <si>
    <r>
      <t xml:space="preserve">Gas Oksigen 7 m3 </t>
    </r>
    <r>
      <rPr>
        <b/>
        <sz val="12"/>
        <rFont val="Carlito"/>
      </rPr>
      <t>WG</t>
    </r>
  </si>
  <si>
    <r>
      <t xml:space="preserve">Gas Oksigen 6 m3 </t>
    </r>
    <r>
      <rPr>
        <b/>
        <sz val="12"/>
        <rFont val="Carlito"/>
      </rPr>
      <t>HP</t>
    </r>
  </si>
  <si>
    <r>
      <t xml:space="preserve">Gas Oksigen 10 m3 - </t>
    </r>
    <r>
      <rPr>
        <b/>
        <sz val="12"/>
        <rFont val="Carlito"/>
      </rPr>
      <t>WG (68L-150Bar)</t>
    </r>
  </si>
  <si>
    <r>
      <t xml:space="preserve">Gas Oksigen 10 m3 - </t>
    </r>
    <r>
      <rPr>
        <b/>
        <sz val="12"/>
        <rFont val="Carlito"/>
      </rPr>
      <t>WG (50L-200Bar) (+400rb/order)</t>
    </r>
  </si>
  <si>
    <r>
      <t xml:space="preserve">Gas Nitrogen 6 m3 </t>
    </r>
    <r>
      <rPr>
        <b/>
        <sz val="12"/>
        <rFont val="Carlito"/>
      </rPr>
      <t>WG</t>
    </r>
  </si>
  <si>
    <r>
      <t xml:space="preserve">Gas Nitrogen 7 m3 </t>
    </r>
    <r>
      <rPr>
        <b/>
        <sz val="12"/>
        <rFont val="Carlito"/>
      </rPr>
      <t>WG</t>
    </r>
  </si>
  <si>
    <r>
      <t xml:space="preserve">Gas Nitrogen 1 m3, 1,5 m3, 2 m3 </t>
    </r>
    <r>
      <rPr>
        <b/>
        <sz val="12"/>
        <rFont val="Carlito"/>
      </rPr>
      <t>HP</t>
    </r>
  </si>
  <si>
    <r>
      <t xml:space="preserve">Gas Nitrogen 6 m3 dan 7 m3 </t>
    </r>
    <r>
      <rPr>
        <b/>
        <sz val="12"/>
        <rFont val="Carlito"/>
      </rPr>
      <t>HP</t>
    </r>
  </si>
  <si>
    <r>
      <t xml:space="preserve">Gas Nitrogen 6 m3 dan 7 m3 </t>
    </r>
    <r>
      <rPr>
        <b/>
        <sz val="12"/>
        <rFont val="Carlito"/>
      </rPr>
      <t>UHP</t>
    </r>
  </si>
  <si>
    <r>
      <t xml:space="preserve">Gas Nitrogen 10 m3 - </t>
    </r>
    <r>
      <rPr>
        <b/>
        <sz val="12"/>
        <rFont val="Carlito"/>
      </rPr>
      <t xml:space="preserve">HP </t>
    </r>
    <r>
      <rPr>
        <sz val="12"/>
        <rFont val="Carlito"/>
      </rPr>
      <t>(50L-200Bar)</t>
    </r>
  </si>
  <si>
    <r>
      <t xml:space="preserve">Gas Nitrogen 10 m3 - </t>
    </r>
    <r>
      <rPr>
        <b/>
        <sz val="12"/>
        <rFont val="Carlito"/>
      </rPr>
      <t xml:space="preserve">UHP </t>
    </r>
    <r>
      <rPr>
        <sz val="12"/>
        <rFont val="Carlito"/>
      </rPr>
      <t>(50L-200Bar)</t>
    </r>
  </si>
  <si>
    <r>
      <t xml:space="preserve">Gas Helium 1,5 M3 </t>
    </r>
    <r>
      <rPr>
        <b/>
        <sz val="12"/>
        <rFont val="Carlito"/>
      </rPr>
      <t>UHP</t>
    </r>
  </si>
  <si>
    <r>
      <t xml:space="preserve">Gas Helium 6 M3 </t>
    </r>
    <r>
      <rPr>
        <b/>
        <sz val="12"/>
        <rFont val="Carlito"/>
      </rPr>
      <t>UHP</t>
    </r>
  </si>
  <si>
    <r>
      <t xml:space="preserve">Gas Helium 7 M3 </t>
    </r>
    <r>
      <rPr>
        <b/>
        <sz val="12"/>
        <rFont val="Carlito"/>
      </rPr>
      <t>UHP</t>
    </r>
  </si>
  <si>
    <r>
      <t xml:space="preserve">Gas Helium 10 M3 </t>
    </r>
    <r>
      <rPr>
        <b/>
        <sz val="12"/>
        <rFont val="Carlito"/>
      </rPr>
      <t>UHP</t>
    </r>
  </si>
  <si>
    <r>
      <t xml:space="preserve">Gas Carbondioxide CO2 0,3 m3 (1Kg) </t>
    </r>
    <r>
      <rPr>
        <b/>
        <sz val="12"/>
        <rFont val="Carlito"/>
      </rPr>
      <t>Industri Grade</t>
    </r>
  </si>
  <si>
    <r>
      <t xml:space="preserve">Gas Carbondioxide CO2 0,5 m3 (2Kg) </t>
    </r>
    <r>
      <rPr>
        <b/>
        <sz val="12"/>
        <rFont val="Carlito"/>
      </rPr>
      <t>Industri Grade</t>
    </r>
  </si>
  <si>
    <r>
      <t xml:space="preserve">Gas Carbondioxide CO2 1 m3 (4Kg) </t>
    </r>
    <r>
      <rPr>
        <b/>
        <sz val="12"/>
        <rFont val="Carlito"/>
      </rPr>
      <t>Industri Grade</t>
    </r>
  </si>
  <si>
    <r>
      <t xml:space="preserve">Gas Carbondioxide CO2 1,5m3 (6Kg) </t>
    </r>
    <r>
      <rPr>
        <b/>
        <sz val="12"/>
        <rFont val="Carlito"/>
      </rPr>
      <t>Industri Grade</t>
    </r>
  </si>
  <si>
    <r>
      <t xml:space="preserve">Gas Carbondioxide CO2 2 m3 (8Kg) </t>
    </r>
    <r>
      <rPr>
        <b/>
        <sz val="12"/>
        <rFont val="Carlito"/>
      </rPr>
      <t>Industri Grade</t>
    </r>
  </si>
  <si>
    <r>
      <t xml:space="preserve">Gas Carbondioxide CO2 6 m3 (15Kg) </t>
    </r>
    <r>
      <rPr>
        <b/>
        <sz val="12"/>
        <rFont val="Carlito"/>
      </rPr>
      <t>Industri Grade</t>
    </r>
  </si>
  <si>
    <r>
      <t xml:space="preserve">Gas Carbondioxide CO2 6 m3/7 m3 (25Kg) </t>
    </r>
    <r>
      <rPr>
        <b/>
        <sz val="12"/>
        <rFont val="Carlito"/>
      </rPr>
      <t>Industri Grade</t>
    </r>
  </si>
  <si>
    <r>
      <t xml:space="preserve">Gas Carbondioxide CO2 10 m3 (45Kg) </t>
    </r>
    <r>
      <rPr>
        <b/>
        <sz val="12"/>
        <rFont val="Carlito"/>
      </rPr>
      <t>Industri Grade</t>
    </r>
  </si>
  <si>
    <r>
      <t xml:space="preserve">Gas Carbondioxide CO2 0,3 m3 (1Kg) </t>
    </r>
    <r>
      <rPr>
        <b/>
        <sz val="12"/>
        <rFont val="Carlito"/>
      </rPr>
      <t>Food Grade</t>
    </r>
  </si>
  <si>
    <r>
      <t xml:space="preserve">Gas Carbondioxide CO2 0,5m3 (2Kg) </t>
    </r>
    <r>
      <rPr>
        <b/>
        <sz val="12"/>
        <rFont val="Carlito"/>
      </rPr>
      <t>Food Grade</t>
    </r>
  </si>
  <si>
    <r>
      <t xml:space="preserve">Gas Carbondioxide CO2 1 m3 (4Kg) </t>
    </r>
    <r>
      <rPr>
        <b/>
        <sz val="12"/>
        <rFont val="Carlito"/>
      </rPr>
      <t>Food Grade</t>
    </r>
  </si>
  <si>
    <r>
      <t>Gas Carbondioxide CO2 (5 Kg)</t>
    </r>
    <r>
      <rPr>
        <b/>
        <sz val="12"/>
        <rFont val="Carlito"/>
      </rPr>
      <t xml:space="preserve"> Food Grade</t>
    </r>
  </si>
  <si>
    <r>
      <t xml:space="preserve">Gas Carbondioxide CO2 1,5m3 (6Kg) </t>
    </r>
    <r>
      <rPr>
        <b/>
        <sz val="12"/>
        <rFont val="Carlito"/>
      </rPr>
      <t>Food Grade</t>
    </r>
  </si>
  <si>
    <r>
      <t xml:space="preserve">Gas Carbondioxide CO2 2 m3 (8Kg) </t>
    </r>
    <r>
      <rPr>
        <b/>
        <sz val="12"/>
        <rFont val="Carlito"/>
      </rPr>
      <t>Food Grade</t>
    </r>
  </si>
  <si>
    <r>
      <t xml:space="preserve">Gas Carbondioxide CO2 6 m3/7 m3(20Kg) </t>
    </r>
    <r>
      <rPr>
        <b/>
        <sz val="12"/>
        <rFont val="Carlito"/>
      </rPr>
      <t>Food Grade</t>
    </r>
  </si>
  <si>
    <r>
      <t xml:space="preserve">Gas Carbondioxide CO2 6 m3/7 m3 (25Kg) </t>
    </r>
    <r>
      <rPr>
        <b/>
        <sz val="12"/>
        <rFont val="Carlito"/>
      </rPr>
      <t>Food Grade</t>
    </r>
  </si>
  <si>
    <r>
      <t xml:space="preserve">Gas Argon 1 m3 </t>
    </r>
    <r>
      <rPr>
        <b/>
        <sz val="12"/>
        <rFont val="Carlito"/>
      </rPr>
      <t>WG</t>
    </r>
  </si>
  <si>
    <r>
      <t xml:space="preserve">Gas Argon 1,5 m3 </t>
    </r>
    <r>
      <rPr>
        <b/>
        <sz val="12"/>
        <rFont val="Carlito"/>
      </rPr>
      <t>WG</t>
    </r>
  </si>
  <si>
    <r>
      <t xml:space="preserve">Gas Argon 2 m3 </t>
    </r>
    <r>
      <rPr>
        <b/>
        <sz val="12"/>
        <rFont val="Carlito"/>
      </rPr>
      <t>WG</t>
    </r>
  </si>
  <si>
    <r>
      <t xml:space="preserve">Gas Argon 6 m3 </t>
    </r>
    <r>
      <rPr>
        <b/>
        <sz val="12"/>
        <rFont val="Carlito"/>
      </rPr>
      <t>WG</t>
    </r>
  </si>
  <si>
    <r>
      <t xml:space="preserve">Gas Argon 7 m3 </t>
    </r>
    <r>
      <rPr>
        <b/>
        <sz val="12"/>
        <rFont val="Carlito"/>
      </rPr>
      <t>WG</t>
    </r>
  </si>
  <si>
    <r>
      <t xml:space="preserve">Purging Gas Argon 6 m3 / 7 m3 </t>
    </r>
    <r>
      <rPr>
        <b/>
        <sz val="12"/>
        <rFont val="Carlito"/>
      </rPr>
      <t>WG</t>
    </r>
  </si>
  <si>
    <r>
      <t xml:space="preserve">Gas Argon 1 m3 </t>
    </r>
    <r>
      <rPr>
        <b/>
        <sz val="12"/>
        <rFont val="Carlito"/>
      </rPr>
      <t>HP</t>
    </r>
  </si>
  <si>
    <r>
      <t xml:space="preserve">Gas Argon 1,5 m3 </t>
    </r>
    <r>
      <rPr>
        <b/>
        <sz val="12"/>
        <rFont val="Carlito"/>
      </rPr>
      <t>HP</t>
    </r>
  </si>
  <si>
    <r>
      <t xml:space="preserve">Gas Argon 2 m3 </t>
    </r>
    <r>
      <rPr>
        <b/>
        <sz val="12"/>
        <rFont val="Carlito"/>
      </rPr>
      <t>HP</t>
    </r>
  </si>
  <si>
    <r>
      <t xml:space="preserve">Gas Argon 6 m3 dan 7 m3 </t>
    </r>
    <r>
      <rPr>
        <b/>
        <sz val="12"/>
        <rFont val="Carlito"/>
      </rPr>
      <t>HP</t>
    </r>
  </si>
  <si>
    <r>
      <t xml:space="preserve">Gas Argon 1 m3 </t>
    </r>
    <r>
      <rPr>
        <b/>
        <sz val="12"/>
        <rFont val="Carlito"/>
      </rPr>
      <t>UHP</t>
    </r>
  </si>
  <si>
    <r>
      <t xml:space="preserve">Gas Argon 1,5 m3 </t>
    </r>
    <r>
      <rPr>
        <b/>
        <sz val="12"/>
        <rFont val="Carlito"/>
      </rPr>
      <t>UHP</t>
    </r>
  </si>
  <si>
    <r>
      <t xml:space="preserve">Gas Argon 2 m3 </t>
    </r>
    <r>
      <rPr>
        <b/>
        <sz val="12"/>
        <rFont val="Carlito"/>
      </rPr>
      <t>UHP</t>
    </r>
  </si>
  <si>
    <r>
      <t xml:space="preserve">Gas Hidrogen 6M3 </t>
    </r>
    <r>
      <rPr>
        <b/>
        <sz val="12"/>
        <rFont val="Carlito"/>
      </rPr>
      <t>WG refill</t>
    </r>
  </si>
  <si>
    <r>
      <t xml:space="preserve">Gas Hidrogen 7M3 </t>
    </r>
    <r>
      <rPr>
        <b/>
        <sz val="12"/>
        <rFont val="Carlito"/>
      </rPr>
      <t>WG refill</t>
    </r>
  </si>
  <si>
    <r>
      <t xml:space="preserve">Gas Hidrogen 6M3 </t>
    </r>
    <r>
      <rPr>
        <b/>
        <sz val="12"/>
        <rFont val="Carlito"/>
      </rPr>
      <t>HP refill</t>
    </r>
  </si>
  <si>
    <r>
      <t xml:space="preserve">Gas Hidrogen 7M3 </t>
    </r>
    <r>
      <rPr>
        <b/>
        <sz val="12"/>
        <rFont val="Carlito"/>
      </rPr>
      <t>HP refill</t>
    </r>
  </si>
  <si>
    <r>
      <t xml:space="preserve">Gas Hidrogen 0,3M3, 1M3 </t>
    </r>
    <r>
      <rPr>
        <b/>
        <sz val="12"/>
        <rFont val="Carlito"/>
      </rPr>
      <t>WG</t>
    </r>
  </si>
  <si>
    <r>
      <t>Gas Hidrogen 6M3</t>
    </r>
    <r>
      <rPr>
        <b/>
        <sz val="12"/>
        <rFont val="Carlito"/>
      </rPr>
      <t xml:space="preserve"> UHP</t>
    </r>
  </si>
  <si>
    <r>
      <t xml:space="preserve">Gas Hidrogen 0,3M3, </t>
    </r>
    <r>
      <rPr>
        <b/>
        <sz val="12"/>
        <rFont val="Carlito"/>
      </rPr>
      <t>UHP</t>
    </r>
  </si>
  <si>
    <t>Gas Nitrousoxide N2O 0,3m3  (1Kg)</t>
  </si>
  <si>
    <r>
      <t xml:space="preserve">Gas Argon 0,3 m3 </t>
    </r>
    <r>
      <rPr>
        <b/>
        <sz val="12"/>
        <rFont val="Carlito"/>
      </rPr>
      <t>HP</t>
    </r>
  </si>
  <si>
    <r>
      <t xml:space="preserve">Gas Argon 0,3 m3 </t>
    </r>
    <r>
      <rPr>
        <b/>
        <sz val="12"/>
        <rFont val="Carlito"/>
      </rPr>
      <t>UHP</t>
    </r>
  </si>
  <si>
    <r>
      <t xml:space="preserve">Gas Argon 0,3 m3 </t>
    </r>
    <r>
      <rPr>
        <b/>
        <sz val="12"/>
        <rFont val="Carlito"/>
      </rPr>
      <t>WG</t>
    </r>
  </si>
  <si>
    <r>
      <t xml:space="preserve">Gas Helium 0,3 M3 </t>
    </r>
    <r>
      <rPr>
        <b/>
        <sz val="12"/>
        <rFont val="Carlito"/>
      </rPr>
      <t>UHP</t>
    </r>
  </si>
  <si>
    <t>Gas Nitrousoxide N2O 0,5m3  (2Kg)</t>
  </si>
  <si>
    <r>
      <t xml:space="preserve">Gas Argon 0,5 m3 </t>
    </r>
    <r>
      <rPr>
        <b/>
        <sz val="12"/>
        <rFont val="Carlito"/>
      </rPr>
      <t>HP</t>
    </r>
  </si>
  <si>
    <r>
      <t xml:space="preserve">Gas Argon 0,5 m3 </t>
    </r>
    <r>
      <rPr>
        <b/>
        <sz val="12"/>
        <rFont val="Carlito"/>
      </rPr>
      <t>UHP</t>
    </r>
  </si>
  <si>
    <r>
      <t xml:space="preserve">Gas Argon 0,5 m3 </t>
    </r>
    <r>
      <rPr>
        <b/>
        <sz val="12"/>
        <rFont val="Carlito"/>
      </rPr>
      <t>WG</t>
    </r>
  </si>
  <si>
    <r>
      <t xml:space="preserve">Gas Hidrogen 0,5M3 </t>
    </r>
    <r>
      <rPr>
        <b/>
        <sz val="12"/>
        <rFont val="Carlito"/>
      </rPr>
      <t>HP</t>
    </r>
  </si>
  <si>
    <r>
      <t xml:space="preserve">Gas Hidrogen 0,5M3, </t>
    </r>
    <r>
      <rPr>
        <b/>
        <sz val="12"/>
        <rFont val="Carlito"/>
      </rPr>
      <t>UHP</t>
    </r>
  </si>
  <si>
    <r>
      <t xml:space="preserve">Gas Hidrogen 1M3, </t>
    </r>
    <r>
      <rPr>
        <b/>
        <sz val="12"/>
        <rFont val="Carlito"/>
      </rPr>
      <t>UHP</t>
    </r>
  </si>
  <si>
    <r>
      <t xml:space="preserve">Gas Hidrogen 1M3 </t>
    </r>
    <r>
      <rPr>
        <b/>
        <sz val="12"/>
        <rFont val="Carlito"/>
      </rPr>
      <t>HP</t>
    </r>
  </si>
  <si>
    <r>
      <t xml:space="preserve">Gas Helium 1 M3 </t>
    </r>
    <r>
      <rPr>
        <b/>
        <sz val="12"/>
        <rFont val="Carlito"/>
      </rPr>
      <t>WG</t>
    </r>
  </si>
  <si>
    <r>
      <t xml:space="preserve">Gas Hidrogen 1,5 M3 </t>
    </r>
    <r>
      <rPr>
        <b/>
        <sz val="12"/>
        <rFont val="Carlito"/>
      </rPr>
      <t>HP</t>
    </r>
  </si>
  <si>
    <r>
      <t xml:space="preserve">Gas Carbondioxide CO2 1,5m3 (5Kg) </t>
    </r>
    <r>
      <rPr>
        <b/>
        <sz val="12"/>
        <rFont val="Carlito"/>
      </rPr>
      <t>Industri Grade</t>
    </r>
  </si>
  <si>
    <r>
      <t xml:space="preserve">Purging Gas Argon 10 m3 </t>
    </r>
    <r>
      <rPr>
        <b/>
        <sz val="12"/>
        <rFont val="Carlito"/>
      </rPr>
      <t>WG</t>
    </r>
  </si>
  <si>
    <r>
      <t xml:space="preserve">Gas Nitrogen 10 m3 - </t>
    </r>
    <r>
      <rPr>
        <b/>
        <sz val="12"/>
        <rFont val="Carlito"/>
      </rPr>
      <t xml:space="preserve">WG </t>
    </r>
    <r>
      <rPr>
        <sz val="12"/>
        <rFont val="Carlito"/>
      </rPr>
      <t>(68L-150Bar)</t>
    </r>
  </si>
  <si>
    <r>
      <t xml:space="preserve">Gas Hidrogen 10M3 </t>
    </r>
    <r>
      <rPr>
        <b/>
        <sz val="12"/>
        <rFont val="Carlito"/>
      </rPr>
      <t>UHP</t>
    </r>
    <r>
      <rPr>
        <sz val="12"/>
        <rFont val="Carlito"/>
      </rPr>
      <t xml:space="preserve"> (50L - 200Bar)</t>
    </r>
  </si>
  <si>
    <r>
      <t xml:space="preserve">Gas Hidrogen 10M3 </t>
    </r>
    <r>
      <rPr>
        <b/>
        <sz val="12"/>
        <rFont val="Carlito"/>
      </rPr>
      <t>UHP</t>
    </r>
    <r>
      <rPr>
        <sz val="12"/>
        <rFont val="Carlito"/>
      </rPr>
      <t xml:space="preserve"> (68L - 150Bar)</t>
    </r>
  </si>
  <si>
    <r>
      <t xml:space="preserve">Gas Hidrogen 10M3 </t>
    </r>
    <r>
      <rPr>
        <b/>
        <sz val="12"/>
        <rFont val="Carlito"/>
      </rPr>
      <t>WG</t>
    </r>
    <r>
      <rPr>
        <sz val="12"/>
        <rFont val="Carlito"/>
      </rPr>
      <t xml:space="preserve"> (68L - 150Bar)</t>
    </r>
  </si>
  <si>
    <r>
      <t xml:space="preserve">Gas Hidrogen 2M3 </t>
    </r>
    <r>
      <rPr>
        <b/>
        <sz val="12"/>
        <rFont val="Carlito"/>
      </rPr>
      <t>WG</t>
    </r>
  </si>
  <si>
    <r>
      <t xml:space="preserve">Gas Hidrogen 2M3, </t>
    </r>
    <r>
      <rPr>
        <b/>
        <sz val="12"/>
        <rFont val="Carlito"/>
      </rPr>
      <t>UHP</t>
    </r>
  </si>
  <si>
    <r>
      <t xml:space="preserve">Gas Helium 2 M3 </t>
    </r>
    <r>
      <rPr>
        <b/>
        <sz val="12"/>
        <rFont val="Carlito"/>
      </rPr>
      <t>UHP</t>
    </r>
  </si>
  <si>
    <r>
      <t xml:space="preserve">Gas Hidrogen 2 M3 </t>
    </r>
    <r>
      <rPr>
        <b/>
        <sz val="12"/>
        <rFont val="Carlito"/>
      </rPr>
      <t>HP</t>
    </r>
  </si>
  <si>
    <t>Produk Samator</t>
  </si>
  <si>
    <t>Gas Oksigen 3 m3</t>
  </si>
  <si>
    <t>Liquid Nitrogen</t>
  </si>
  <si>
    <t>Tabung Gas Baru Vol.6 m3 - Biru QF-2G1 O2 UHP (impor)</t>
  </si>
  <si>
    <r>
      <t xml:space="preserve">Gas Oxygen 6 m3 </t>
    </r>
    <r>
      <rPr>
        <b/>
        <sz val="12"/>
        <rFont val="Carlito"/>
      </rPr>
      <t>UHP</t>
    </r>
    <r>
      <rPr>
        <sz val="12"/>
        <rFont val="Carlito"/>
      </rPr>
      <t xml:space="preserve">  (lokal)</t>
    </r>
  </si>
  <si>
    <t>Vacum VGL 175L</t>
  </si>
  <si>
    <t>Gas Acetylene HP 4 Kg</t>
  </si>
  <si>
    <t>Cryogenic Container</t>
  </si>
  <si>
    <r>
      <t xml:space="preserve">Tabung 0,3 m3 PUREAIR QF-2G1 </t>
    </r>
    <r>
      <rPr>
        <b/>
        <sz val="12"/>
        <rFont val="Carlito"/>
      </rPr>
      <t xml:space="preserve">SV </t>
    </r>
    <r>
      <rPr>
        <sz val="12"/>
        <rFont val="Carlito"/>
      </rPr>
      <t>(kosong/isi O2)</t>
    </r>
  </si>
  <si>
    <t>Tabung 0,5 m3 QF-2G1 (kosong/isi O2)</t>
  </si>
  <si>
    <r>
      <t xml:space="preserve">Tabung 0,5 m3 PUREAIR QF-2G1 </t>
    </r>
    <r>
      <rPr>
        <b/>
        <sz val="12"/>
        <rFont val="Carlito"/>
      </rPr>
      <t xml:space="preserve">SV </t>
    </r>
    <r>
      <rPr>
        <sz val="12"/>
        <rFont val="Carlito"/>
      </rPr>
      <t>(kosong/isi O2)</t>
    </r>
  </si>
  <si>
    <t>Tabung 1 m3 PUREAIR QF-2G1 (kosong/isi O2)</t>
  </si>
  <si>
    <r>
      <t xml:space="preserve">Tabung 1 m3 PUREAIR QF-2G1 </t>
    </r>
    <r>
      <rPr>
        <b/>
        <sz val="12"/>
        <rFont val="Carlito"/>
      </rPr>
      <t xml:space="preserve">SV </t>
    </r>
    <r>
      <rPr>
        <sz val="12"/>
        <rFont val="Carlito"/>
      </rPr>
      <t>(kosong/isi O2)</t>
    </r>
  </si>
  <si>
    <t>Tabung 1,5 m3 QF-2G1 (kosong/isi O2)</t>
  </si>
  <si>
    <r>
      <t xml:space="preserve">Tabung 1,5 m3 PUREAIR QF-2G1 </t>
    </r>
    <r>
      <rPr>
        <b/>
        <sz val="12"/>
        <rFont val="Carlito"/>
      </rPr>
      <t>SV</t>
    </r>
    <r>
      <rPr>
        <sz val="12"/>
        <rFont val="Carlito"/>
      </rPr>
      <t xml:space="preserve"> (kosong/isi O2)</t>
    </r>
  </si>
  <si>
    <r>
      <t xml:space="preserve">Tabung 3 m3 pendek PUREAIR QF-2G1 </t>
    </r>
    <r>
      <rPr>
        <b/>
        <sz val="12"/>
        <rFont val="Carlito"/>
      </rPr>
      <t>SV</t>
    </r>
    <r>
      <rPr>
        <sz val="12"/>
        <rFont val="Carlito"/>
      </rPr>
      <t xml:space="preserve"> (kosong/isi O2)</t>
    </r>
  </si>
  <si>
    <r>
      <t xml:space="preserve">Tabung 2 m3 PUREAIR QF-2G1 </t>
    </r>
    <r>
      <rPr>
        <b/>
        <sz val="12"/>
        <rFont val="Carlito"/>
      </rPr>
      <t>SV</t>
    </r>
    <r>
      <rPr>
        <sz val="12"/>
        <rFont val="Carlito"/>
      </rPr>
      <t xml:space="preserve"> (kosong/isi O2)</t>
    </r>
  </si>
  <si>
    <t>Gas Nitrousoxide N2O 3m3 (12Kg)</t>
  </si>
  <si>
    <t xml:space="preserve">Gas Nitrousoxide N2O 10m3 </t>
  </si>
  <si>
    <t>Gas Acetylene UHP 6 Kg</t>
  </si>
  <si>
    <t>Gas Acetylene HP 2 kg</t>
  </si>
  <si>
    <t>Liquid Nitrogen 1 Liter</t>
  </si>
  <si>
    <t>Sprayer Liquid Nitrogen</t>
  </si>
  <si>
    <t>Liquid Carbondioxide 210L VGL (200Kg)</t>
  </si>
  <si>
    <t>Liquid Carbondioxide 175L (Kg)</t>
  </si>
  <si>
    <t>Tabung 6 m3 YA QF-2G1 kosong</t>
  </si>
  <si>
    <t>Tabung 6 m3 JP QF-2G1 kosong</t>
  </si>
  <si>
    <t>Tabung 10 m3 (50L-200Bar) tanpa kran</t>
  </si>
  <si>
    <t>Tabung 10 m3 (68L-150Bar) tanpa kran</t>
  </si>
  <si>
    <t>Tabung Acetyline UC C2H2 40 L PF5-1 kosong</t>
  </si>
  <si>
    <r>
      <t xml:space="preserve">Gas Carbondioxide CO2 3 m3 (12Kg) </t>
    </r>
    <r>
      <rPr>
        <b/>
        <sz val="12"/>
        <rFont val="Carlito"/>
      </rPr>
      <t>Food Grade</t>
    </r>
  </si>
  <si>
    <t>Gas Acetylene UHP 2 kg</t>
  </si>
  <si>
    <r>
      <t xml:space="preserve">Gas Nitrogen 0,3m3, 0,5m3, 1 m3, 1,5 m3, 2 m3, 3 m3 </t>
    </r>
    <r>
      <rPr>
        <b/>
        <sz val="12"/>
        <rFont val="Carlito"/>
      </rPr>
      <t>WG</t>
    </r>
  </si>
  <si>
    <t>Regulator Gas Oksigen Avico</t>
  </si>
  <si>
    <t>Regulator Gas Oksigen Nesco</t>
  </si>
  <si>
    <t>Kran Oxygen Type MA2-10 LP</t>
  </si>
  <si>
    <t>Gas Carbondioxide 40 Kg</t>
  </si>
  <si>
    <t>Gas Carbondioxide 45 Kg</t>
  </si>
  <si>
    <t>Tabung CO2 1Kg (kosong/kran QF-2A6) 2L</t>
  </si>
  <si>
    <t>Tabung CO2 2Kg (kosong/kran QF-2A6) 3,4L</t>
  </si>
  <si>
    <t>Tabung CO2 4Kg (kosong/kran QF-2A6) 7L</t>
  </si>
  <si>
    <t>Kran Natural Gas QF-T1 (CNG)</t>
  </si>
  <si>
    <t>Vaporizer 200M3-35Bar</t>
  </si>
  <si>
    <t xml:space="preserve"> </t>
  </si>
  <si>
    <t>Nama Barang</t>
  </si>
  <si>
    <t>Kode</t>
  </si>
  <si>
    <t>Unit</t>
  </si>
  <si>
    <t>Harga Baru</t>
  </si>
  <si>
    <t>Harga Min</t>
  </si>
  <si>
    <t>Tabung Gas Baru Vol.6 M3 UC Biru QF-2G1</t>
  </si>
  <si>
    <t>TB-00-UC-2G1-060-BRU</t>
  </si>
  <si>
    <t>TBG</t>
  </si>
  <si>
    <t>Tabung Gas Baru Vol.7 M3 UC Biru QF-2G1</t>
  </si>
  <si>
    <t>TB-00-UC-2G1-070-BRU</t>
  </si>
  <si>
    <t>Tabung Gas Baru Vol.10 M3 UC Biru Tanpa Kran 50L - 200Bar</t>
  </si>
  <si>
    <t>TB-00-UC-502-100-BRU</t>
  </si>
  <si>
    <t>Tabung Gas Baru Vol.10 M3 UC Biru Tanpa Kran 68L - 150Bar</t>
  </si>
  <si>
    <t>TB-00-UC-681-100-BRU</t>
  </si>
  <si>
    <t>Tabung Gas Baru Vol.6 M3 UC Biru QF-2G1 SV</t>
  </si>
  <si>
    <t>TB-00-UC-2GS-060-BRU</t>
  </si>
  <si>
    <t>Tabung Gas Baru Vol.7 M3 UC Biru QF-2G1 SV</t>
  </si>
  <si>
    <t>TB-00-UC-2GS-070-BRU</t>
  </si>
  <si>
    <t>Tabung Gas Baru Vol.6 M3 UC Putih QF-2G1</t>
  </si>
  <si>
    <t>TB-00-UC-2G1-060-PTH</t>
  </si>
  <si>
    <t>Tabung Gas Baru Vol.7 M3 UC Putih QF-2G1</t>
  </si>
  <si>
    <t>TB-00-UC-2G1-070-PTH</t>
  </si>
  <si>
    <t>Tabung Gas Baru Vol.10 M3 UC Putih QF-2G1</t>
  </si>
  <si>
    <t>TB-00-UC-2G1-100-PTH</t>
  </si>
  <si>
    <t>Tabung Gas Baru Vol.6 M3 UC Putih QF-2G1 SV</t>
  </si>
  <si>
    <t>TB-00-UC-2GS-060-PTH</t>
  </si>
  <si>
    <t>Tabung Gas Baru Vol.7 M3 UC Putih QF-2G1 SV</t>
  </si>
  <si>
    <t>TB-00-UC-2GS-070-PTH</t>
  </si>
  <si>
    <t>Tabung Gas Baru Vol.10 M3 UC Putih QF-2G1 SV</t>
  </si>
  <si>
    <t>TB-00-UC-2GS-100-PTH</t>
  </si>
  <si>
    <t>Tabung Gas Baru Vol.6 M3 UC Biru QF-2A6</t>
  </si>
  <si>
    <t>TB-00-UC-2A6-060-BRU</t>
  </si>
  <si>
    <t>Tabung Gas Baru Vol.7 M3 UC Biru QF-2A6</t>
  </si>
  <si>
    <t>TB-00-UC-2A6-070-BRU</t>
  </si>
  <si>
    <t>Tabung Gas Baru Vol.0,5 M3 PA Putih QF-2G1</t>
  </si>
  <si>
    <t>TB-00-PA-2G1-005-PTH</t>
  </si>
  <si>
    <t>Tabung Gas Baru Vol.1 M3 PA Putih QF-2G1</t>
  </si>
  <si>
    <t>TB-00-PA-2G1-010-PTH</t>
  </si>
  <si>
    <t>Tabung Gas Baru Vol.1,5 M3 PA Putih QF-2G1</t>
  </si>
  <si>
    <t>TB-00-PA-2G1-015-PTH</t>
  </si>
  <si>
    <t>Tabung Gas Baru Vol.2 M3 PA Putih QF-2G1</t>
  </si>
  <si>
    <t>TB-00-PA-2G1-020-PTH</t>
  </si>
  <si>
    <t>Tabung Gas Baru Vol.3 M3 PA Putih QF-2G1</t>
  </si>
  <si>
    <t>TB-00-PA-2G1-030-PTH</t>
  </si>
  <si>
    <t>Tabung Gas Baru Vol.6 M3 PA Putih QF-2G1</t>
  </si>
  <si>
    <t>TB-00-PA-2G1-060-PTH</t>
  </si>
  <si>
    <t>Tabung Gas Baru Vol.0,3 M3 PA Putih QF-2G1 SV</t>
  </si>
  <si>
    <t>TB-00-PA-2GS-003-PTH</t>
  </si>
  <si>
    <t>Tabung Gas Baru Vol.0,5 M3 PA Putih QF-2G1 SV</t>
  </si>
  <si>
    <t>TB-00-PA-2GS-005-PTH</t>
  </si>
  <si>
    <t>Tabung Gas Baru Vol.1 M3 PA Putih QF-2G1 SV</t>
  </si>
  <si>
    <t>TB-00-PA-2GS-010-PTH</t>
  </si>
  <si>
    <t>Tabung Gas Baru Vol.1,5 M3 PA Putih QF-2G1 SV</t>
  </si>
  <si>
    <t>TB-00-PA-2GS-015-PTH</t>
  </si>
  <si>
    <t>Tabung Gas Baru Vol.2 M3 PA Putih QF-2G1 SV</t>
  </si>
  <si>
    <t>TB-00-PA-2GS-020-PTH</t>
  </si>
  <si>
    <t>Tabung Gas Baru Vol.3 M3 PA Putih QF-2G1 SV</t>
  </si>
  <si>
    <t>TB-00-PA-2GS-030-PTH</t>
  </si>
  <si>
    <t>Tabung Gas Baru Vol.7 M3 PA Putih QF-2G1 SV</t>
  </si>
  <si>
    <t>TB-00-PA-2GS-060-PTH</t>
  </si>
  <si>
    <t>Tabung Gas Baru Vol.6 M3 JP Biru QF-2G1</t>
  </si>
  <si>
    <t>TB-00-JP-2G1-060-BRU</t>
  </si>
  <si>
    <t>Tabung Gas Baru Vol.7 M3 JP Biru QF-2G1</t>
  </si>
  <si>
    <t>TB-00-JP-2G1-070-BRU</t>
  </si>
  <si>
    <t>Tabung Gas Baru Vol.10 M3 JP Biru QF-2G1</t>
  </si>
  <si>
    <t>TB-00-JP-2G1-100-BRU</t>
  </si>
  <si>
    <t>Tabung Gas Baru Vol.6 M3 YA Biru QF-2G1</t>
  </si>
  <si>
    <t>TB-00-YA-2G1-060-BRU</t>
  </si>
  <si>
    <t>Tabung Gas Baru Vol.6 M3 YA Putih QF-2G1</t>
  </si>
  <si>
    <t>TB-00-YA-2G1-060-PTH</t>
  </si>
  <si>
    <t>Tabung Acetylene Vol.40L UC Maroon PF5-1</t>
  </si>
  <si>
    <t>TA-00-UC-PF5-040-MRN</t>
  </si>
  <si>
    <t>Tabung Gas Karbondioksida Vol.2L PA Abu QF-2A6</t>
  </si>
  <si>
    <t>TO-00-PA-2A6-020-ABU</t>
  </si>
  <si>
    <t>Tabung Gas Karbondioksida Vol.3,4L PA Abu QF-2A6 SV CO2 2KG FG</t>
  </si>
  <si>
    <t>TR-00-PA-2AS-02F-ABU</t>
  </si>
  <si>
    <t>Tabung Gas Karbondioksida Vol.3,4L PA Abu QF-2A6 SV KS</t>
  </si>
  <si>
    <t>TO-00-PA-2AS-020-ABU</t>
  </si>
  <si>
    <t>Tabung Gas Karbondioksida Vol.7L PA Abu QF-2A6</t>
  </si>
  <si>
    <t>TO-00-PA-2A6-070-ABU</t>
  </si>
  <si>
    <t>Tabung Gas Karbondioksida Vol.7L PA Abu QF-2A6 Tutup Besi Standar</t>
  </si>
  <si>
    <t>TO-00-PA-2A6-70T-ABU</t>
  </si>
  <si>
    <t>Tabung Cryogenic Container Vol.2L Putih</t>
  </si>
  <si>
    <t>TD-00-YD-000-002-PTH</t>
  </si>
  <si>
    <t>Tabung Cryogenic Container Vol.3L Putih</t>
  </si>
  <si>
    <t>TD-00-YD-000-003-PTH</t>
  </si>
  <si>
    <t>Tabung Cryogenic Container Vol.6L Putih</t>
  </si>
  <si>
    <t>TD-00-YD-000-006-PTH</t>
  </si>
  <si>
    <t>Tabung Cryogenic Container Vol.10L Putih</t>
  </si>
  <si>
    <t>TD-00-YD-000-010-PTH</t>
  </si>
  <si>
    <t>Tabung Cryogenic Container Vol.20L Putih</t>
  </si>
  <si>
    <t>TD-00-YD-000-020-PTH</t>
  </si>
  <si>
    <t>Tabung Cryogenic Container Vol.30L Putih</t>
  </si>
  <si>
    <t>TD-00-YD-000-030-PTH</t>
  </si>
  <si>
    <t>Tabung Cryogenic Container Vol.35L Putih</t>
  </si>
  <si>
    <t>TD-00-YD-000-035-PTH</t>
  </si>
  <si>
    <t>Tabung Cryogenic Container Vol.50L Putih</t>
  </si>
  <si>
    <t>TD-00-YD-000-050-PTH</t>
  </si>
  <si>
    <t>Tabung Cryogenic Cylinder VGL Vol.80L - 23BarPutih</t>
  </si>
  <si>
    <t>TV-00-UC-080-023-PTH</t>
  </si>
  <si>
    <t>Tabung Cryogenic Cylinder VGL Vol.175L - 23Bar Putih</t>
  </si>
  <si>
    <t>TV-00-UC-175-023-PTH</t>
  </si>
  <si>
    <t>Tabung Cryogenic Cylinder VGL Vol.175L - 35Bar Putih</t>
  </si>
  <si>
    <t>TV-00-UC-175-035-PTH</t>
  </si>
  <si>
    <t>Tabung Cryogenic Cylinder VGL Vol.210L - 23Bar Putih</t>
  </si>
  <si>
    <t>TV-00-UC-210-023-PTH</t>
  </si>
  <si>
    <t>Tabung Cryogenic Cylinder VGL Vol.360L - 20Bar Putih</t>
  </si>
  <si>
    <t>TV-00-UC-360-020-PTH</t>
  </si>
  <si>
    <t>Tabung Cryogenic Cylinder VGL Vol.500L - 23Bar Putih</t>
  </si>
  <si>
    <t>TV-00-UC-081-024-PTH</t>
  </si>
  <si>
    <t>Tabung Cryogenic Cylinder HGL Vol.500L - 23Bar Putih</t>
  </si>
  <si>
    <t>TH-00-UC-082-025-PTH</t>
  </si>
  <si>
    <t>Ambient Air Vaporizer 30 M3 - 35 Bar</t>
  </si>
  <si>
    <t>AS-00-UN-AVP-030-035</t>
  </si>
  <si>
    <t>Ambient Air Vaporizer 50 M3 - 35 Bar</t>
  </si>
  <si>
    <t>AS-00-UN-AVP-050-035</t>
  </si>
  <si>
    <t>Ambient Air Vaporizer 100 M3 - 35 Bar</t>
  </si>
  <si>
    <t>AS-00-UN-AVP-100-035</t>
  </si>
  <si>
    <t>AS-00-UN-AVP-200-035</t>
  </si>
  <si>
    <t>Cradle Tabung VGL 175 - 210 Bar</t>
  </si>
  <si>
    <t>AS-00-00-CRD-175-210</t>
  </si>
  <si>
    <t>Pengisian Manifold 5 titik</t>
  </si>
  <si>
    <t>AS-00-00-MAN-005-000</t>
  </si>
  <si>
    <t>Pengisian Manifold 6 titik</t>
  </si>
  <si>
    <t>AS-00-00-MAN-006-000</t>
  </si>
  <si>
    <t>Pengisian Manifold 10 titik</t>
  </si>
  <si>
    <t>AS-00-00-MAN-010-001</t>
  </si>
  <si>
    <t>Pengisian Manifold 6 titik tanpa kran</t>
  </si>
  <si>
    <t>AS-00-00-MAN-006-TK0</t>
  </si>
  <si>
    <t>Troli Union 1M3</t>
  </si>
  <si>
    <t>AS-00-UN-TRL-010-000</t>
  </si>
  <si>
    <t>Troli Union 1,5M3</t>
  </si>
  <si>
    <t>AS-00-UN-TRL-015-000</t>
  </si>
  <si>
    <t>Troli Union 2M3</t>
  </si>
  <si>
    <t>AS-00-UN-TRL-020-000</t>
  </si>
  <si>
    <t>Troli Union 6M3</t>
  </si>
  <si>
    <t>AS-00-UN-TRL-060-000</t>
  </si>
  <si>
    <t>Troli Single 0.5 M3</t>
  </si>
  <si>
    <t>AS-00-00-TRL-005-000</t>
  </si>
  <si>
    <t>Troli Single 1 M3</t>
  </si>
  <si>
    <t>AS-00-00-TRL-010-000</t>
  </si>
  <si>
    <t>Troli Single 2 M3</t>
  </si>
  <si>
    <t>AS-00-00-TRL-020-000</t>
  </si>
  <si>
    <t>Troli Single 6 M3</t>
  </si>
  <si>
    <t>AS-00-00-TRL-060-000</t>
  </si>
  <si>
    <t>Tutup Tulip Besi/Baja</t>
  </si>
  <si>
    <t>AS-00-00-TTB-000-000</t>
  </si>
  <si>
    <t>AS-00-00-TTP-000-000</t>
  </si>
  <si>
    <t>Tutup Tabung Baja Standar</t>
  </si>
  <si>
    <t>AS-00-00-TCB-000-000</t>
  </si>
  <si>
    <t>AS-00-00-TCP-000-000</t>
  </si>
  <si>
    <t>Optional Vaporizer Liquid Inlet 3 PCS</t>
  </si>
  <si>
    <t>AS-00-00-VPI-003-000</t>
  </si>
  <si>
    <t>Optional Vaporizer Liquid Outlet 4 PCS</t>
  </si>
  <si>
    <t>AS-00-00-VPO-004-000</t>
  </si>
  <si>
    <t>SP-00-UN-KRO-2G1-ORI</t>
  </si>
  <si>
    <t xml:space="preserve">Kran Oksigen QF-2G1 SGA </t>
  </si>
  <si>
    <t>SP-00-UN-KRO-2G1-OCR</t>
  </si>
  <si>
    <t>Kran Oksigen QF-2G1 LP</t>
  </si>
  <si>
    <t>SP-00-UN-KRO-2G1-KLP</t>
  </si>
  <si>
    <t>Kran Oksigen QF-2G1 SV LP</t>
  </si>
  <si>
    <t>SP-00-UN-KRO-2G1-SLP</t>
  </si>
  <si>
    <t xml:space="preserve">Kran Oxygen Type QF-2G1 LP SV </t>
  </si>
  <si>
    <t>SP-00-UN-KRO-2G1-LPS</t>
  </si>
  <si>
    <t xml:space="preserve">Kran Oksigen QF - 6B </t>
  </si>
  <si>
    <t>SP-00-UN-KRO-06B-KLP</t>
  </si>
  <si>
    <t>PCS</t>
  </si>
  <si>
    <t>Kran Oksigen F-4 W</t>
  </si>
  <si>
    <t>SP-00-UN-KRO-F4W-000</t>
  </si>
  <si>
    <t>Kran Oksigen QF-2G1 SV PA</t>
  </si>
  <si>
    <t>SP-00-PA-KRO-2G1-KLP</t>
  </si>
  <si>
    <t>Kran Oksigen QF-2G1 SV LP PA</t>
  </si>
  <si>
    <t>SP-00-PA-KRO-2G1-KSV</t>
  </si>
  <si>
    <t xml:space="preserve">Kran Argon PX-35 </t>
  </si>
  <si>
    <t>SP-00-00-KRA-X35-KSA</t>
  </si>
  <si>
    <t>Kran CNG (Natural Gas) QF-T1</t>
  </si>
  <si>
    <t>SP-00-00-KRC-FT1-CNG</t>
  </si>
  <si>
    <t>Kran CNG (Natural Gas) QF-T1 LP</t>
  </si>
  <si>
    <t>SP-00-00-KRC-FT2-CNG</t>
  </si>
  <si>
    <t>Kran Hidrogen DN</t>
  </si>
  <si>
    <t>SP-00-DN-KRH-000-000</t>
  </si>
  <si>
    <t>SP-00-00-KNO-000-000</t>
  </si>
  <si>
    <t>SP-00-UN-KRH-F30-ORI</t>
  </si>
  <si>
    <t>Kran Karbondioksida QF-2A6</t>
  </si>
  <si>
    <t>SP-00-UN-KRK-000-ORI</t>
  </si>
  <si>
    <t>Kran Karbondioksida QF-2A6 SV</t>
  </si>
  <si>
    <t>SP-00-UN-KRK-000-KSV</t>
  </si>
  <si>
    <t>Kran Karbondioksida QF-2A6 LP</t>
  </si>
  <si>
    <t>SP-00-UN-KRK-000-KLP</t>
  </si>
  <si>
    <t>Kran Karbonmonoksida</t>
  </si>
  <si>
    <t>SP-00-00-KRK-000-CO0</t>
  </si>
  <si>
    <t>Kran Acetylene PF5 - 1</t>
  </si>
  <si>
    <t>SP-00-00-KRT-000-ORI</t>
  </si>
  <si>
    <t>SP-00-00-APT-000-OCR</t>
  </si>
  <si>
    <t>As Pen Monel Acy</t>
  </si>
  <si>
    <t>SP-00-00-APC-000-ACY</t>
  </si>
  <si>
    <t>SP-00-00-CHP-000-000</t>
  </si>
  <si>
    <t>SP-00-00-CPG-PSI-NPT</t>
  </si>
  <si>
    <t>SP-00-00-CVR-000-000</t>
  </si>
  <si>
    <t>SP-00-00-HKR-000-000</t>
  </si>
  <si>
    <t>SP-00-00-HKR-000-KSV</t>
  </si>
  <si>
    <t>Liquid Level VGL 175L m 18x2 LIN</t>
  </si>
  <si>
    <t>SP-00-00-LQL-018-LIN</t>
  </si>
  <si>
    <t>Liquid Level VGL 175L m 18x2 LOX</t>
  </si>
  <si>
    <t>SP-00-00-LQL-018-LOX</t>
  </si>
  <si>
    <t>Liquid Level VGL 175L m 20x1,5 LAR</t>
  </si>
  <si>
    <t>SP-00-00-LQL-020-LAR</t>
  </si>
  <si>
    <t>Liquid Level VGL 175 L m 20x1,5 LO2</t>
  </si>
  <si>
    <t>SP-00-00-LQL-020-LO2</t>
  </si>
  <si>
    <t>Liquid Level VGL 175L m 20x1,5 LIN</t>
  </si>
  <si>
    <t>SP-00-00-LQL-020-LIN</t>
  </si>
  <si>
    <t>Liquid Level VGL 175L m 20x1,5 LNG</t>
  </si>
  <si>
    <t>SP-00-00-LQL-020-LNG</t>
  </si>
  <si>
    <t>Liquid Level VGL 175L m 20x1,5 LOX</t>
  </si>
  <si>
    <t>SP-00-00-LQL-020-LOX</t>
  </si>
  <si>
    <t>Liquid Nitrogen Sprayer</t>
  </si>
  <si>
    <t>SP-00-00-LNS-000-000</t>
  </si>
  <si>
    <t>Selang Liquid Cryogenic  1 Meter</t>
  </si>
  <si>
    <t>SP-00-00-SLC-001-000</t>
  </si>
  <si>
    <t>Selang Liquid Cryogenic  3 Meter</t>
  </si>
  <si>
    <t>SP-00-00-SLC-003-000</t>
  </si>
  <si>
    <t>SP-00-00-SLM-010-000</t>
  </si>
  <si>
    <t>SP-00-00-SLM-015-000</t>
  </si>
  <si>
    <t xml:space="preserve">Plat pengaman kran oksigen </t>
  </si>
  <si>
    <t>SP-00-00-PKO-000-000</t>
  </si>
  <si>
    <t>Regulator Medis Oksigen BMD</t>
  </si>
  <si>
    <t>AK-00-BM-REO-000-000</t>
  </si>
  <si>
    <t>Regulator Medis Oksigen Nesco</t>
  </si>
  <si>
    <t>AK-00-NS-REO-000-000</t>
  </si>
  <si>
    <t>Regulator Medis Oksigen Cosmo Med</t>
  </si>
  <si>
    <t>AK-00-CM-REO-000-000</t>
  </si>
  <si>
    <t>Regulator Medis Oksigen Onemed</t>
  </si>
  <si>
    <t>AK-00-OM-REO-000-000</t>
  </si>
  <si>
    <t>Regulator Medis Oksigen Avico</t>
  </si>
  <si>
    <t>AK-00-AV-REO-000-000</t>
  </si>
  <si>
    <t>Regulator Medis Oksigen Welding Morris</t>
  </si>
  <si>
    <t>AK-00-WM-REO-000-000</t>
  </si>
  <si>
    <t>Regulator Gas Acetylene NN</t>
  </si>
  <si>
    <t>AK-00-00-REA-000-000</t>
  </si>
  <si>
    <t>AK-00-MS-REA-000-000</t>
  </si>
  <si>
    <t>AK-00-00-NCN-000-000</t>
  </si>
  <si>
    <t>Liquid Oksigen</t>
  </si>
  <si>
    <t>LQ-00-LO-001-000-000</t>
  </si>
  <si>
    <t>Liquid Oksigen 175L VGL</t>
  </si>
  <si>
    <t>LQ-00-LO-175-VGL-000</t>
  </si>
  <si>
    <t>Liquid Oksigen 210L VGL</t>
  </si>
  <si>
    <t>LQ-00-LO-210-VGL-000</t>
  </si>
  <si>
    <t>Liquid Oksigen 360L VGL</t>
  </si>
  <si>
    <t>LQ-00-LO-360-VGL-000</t>
  </si>
  <si>
    <t>LQ-00-LN-001-000-000</t>
  </si>
  <si>
    <t>LQ-00-LN-175-VGL-000</t>
  </si>
  <si>
    <t>LQ-00-LN-210-VGL-000</t>
  </si>
  <si>
    <t>LQ-00-LN-360-000-000</t>
  </si>
  <si>
    <t>LQ-00-LN-003-000-000</t>
  </si>
  <si>
    <t>LQ-00-LN-006-000-000</t>
  </si>
  <si>
    <t>LQ-00-LN-010-000-000</t>
  </si>
  <si>
    <t>LQ-00-LN-020-000-000</t>
  </si>
  <si>
    <t>LQ-00-LN-030-000-000</t>
  </si>
  <si>
    <t>LQ-00-LN-050-000-000</t>
  </si>
  <si>
    <t>LQ-00-LC-175-000-000</t>
  </si>
  <si>
    <t>LQ-00-LC-210-VGL-200</t>
  </si>
  <si>
    <t>LQ-00-LA-175-VGL-000</t>
  </si>
  <si>
    <t>Gas Udara Tekan 1M3 GRMP</t>
  </si>
  <si>
    <t>GS-01-00-UT0-010-000</t>
  </si>
  <si>
    <t>Gas Udara Tekan 1,5M3 GRMP</t>
  </si>
  <si>
    <t>GS-01-00-UT0-015-000</t>
  </si>
  <si>
    <t>Gas Udara Tekan 2M3 GRMP</t>
  </si>
  <si>
    <t>GS-01-00-UT0-020-000</t>
  </si>
  <si>
    <t>Gas Udara Tekan 6m3 GRMP</t>
  </si>
  <si>
    <t>GS-01-00-UT0-060-000</t>
  </si>
  <si>
    <t>Gas Udara Tekan 7m3 GRMP</t>
  </si>
  <si>
    <t>GS-01-00-UT0-070-000</t>
  </si>
  <si>
    <t>Gas Udara Tekan 10m3 HP (50L-200Bar) GRMP</t>
  </si>
  <si>
    <t>GS-01-00-UT0-100-HPO</t>
  </si>
  <si>
    <t>Gas Udara Tekan 10m3 UHP (50L-200Bar) GRMP</t>
  </si>
  <si>
    <t>GS-01-00-UT0-100-UHP</t>
  </si>
  <si>
    <t>Gas Udara Tekan 10 m3 - WG (68L-150Bar) GRMP</t>
  </si>
  <si>
    <t>GS-01-00-UT0-100-WG0</t>
  </si>
  <si>
    <t>Gas Helium 1 M3 WG GRMP</t>
  </si>
  <si>
    <t>GS-01-00-HE0-003-WG0</t>
  </si>
  <si>
    <t>Gas Helium 0,3 M3 UHP GRMP</t>
  </si>
  <si>
    <t>GS-01-00-HE0-005-UHP</t>
  </si>
  <si>
    <t>Gas Helium 0,5 M3 UHP GRMP</t>
  </si>
  <si>
    <t>GS-01-00-HE0-010-UHP</t>
  </si>
  <si>
    <t>Gas Helium 1 M3 UHP GRMP</t>
  </si>
  <si>
    <t>GS-01-00-HE0-015-UHP</t>
  </si>
  <si>
    <t>Gas Helium 1,5 M3 UHP GRMP</t>
  </si>
  <si>
    <t>GS-01-00-HE0-020-UHP</t>
  </si>
  <si>
    <t>Gas Helium 2 M3 UHP GRMP</t>
  </si>
  <si>
    <t>GS-01-00-HE0-030-UHP</t>
  </si>
  <si>
    <t>Gas Helium 6 M3 UHP GRMP</t>
  </si>
  <si>
    <t>GS-01-00-HE0-060-UHP</t>
  </si>
  <si>
    <t>Gas Helium 7 M3 UHP GRMP</t>
  </si>
  <si>
    <t>GS-01-00-HE0-070-UHP</t>
  </si>
  <si>
    <t>KG</t>
  </si>
  <si>
    <t>Gas Helium 10 M3 UHP GRMP</t>
  </si>
  <si>
    <t>GS-01-00-HE0-100-UHP</t>
  </si>
  <si>
    <t>Gas Carbondioxide CO2 0,3 m3 (1Kg) Industri Grade GRMP</t>
  </si>
  <si>
    <t>GS-01-IG-CO2-003-001</t>
  </si>
  <si>
    <t>Gas Carbondioxide CO2 0,5 m3 (2Kg) Industri Grade GRMP</t>
  </si>
  <si>
    <t>GS-01-IG-CO2-005-002</t>
  </si>
  <si>
    <t>Gas Carbondioxide CO2 1 m3 (4Kg) Industri Grade GRMP</t>
  </si>
  <si>
    <t>GS-01-IG-CO2-010-004</t>
  </si>
  <si>
    <t>Gas Carbondioxide CO2 1,5m3 (5Kg) Industri Grade GRMP</t>
  </si>
  <si>
    <t>GS-01-IG-CO2-015-005</t>
  </si>
  <si>
    <t>Gas Carbondioxide CO2 1,5m3 (6Kg) Industri Grade GRMP</t>
  </si>
  <si>
    <t>GS-01-IG-CO2-015-006</t>
  </si>
  <si>
    <t>Gas Carbondioxide CO2 2 m3 (8Kg) Industri Grade GRMP</t>
  </si>
  <si>
    <t>GS-01-IG-CO2-020-008</t>
  </si>
  <si>
    <t>Gas Carbondioxide CO2 6 m3 (15Kg) Industri Grade GRMP</t>
  </si>
  <si>
    <t>GS-01-IG-CO2-060-015</t>
  </si>
  <si>
    <t>Gas Carbondioxide CO2 6 m3 (20Kg) Industri Grade GRMP</t>
  </si>
  <si>
    <t>GS-01-IG-CO2-060-020</t>
  </si>
  <si>
    <t>Gas Carbondioxide CO2 7 m3 (20Kg) Industri Grade GRMP</t>
  </si>
  <si>
    <t>GS-01-IG-CO2-070-020</t>
  </si>
  <si>
    <t>Gas Carbondioxide CO2 6 m3 (25Kg) Industri Grade GRMP</t>
  </si>
  <si>
    <t>GS-01-IG-CO2-060-025</t>
  </si>
  <si>
    <t>Gas Carbondioxide CO2 7 m3 (25Kg) Industri Grade GRMP</t>
  </si>
  <si>
    <t>GS-01-IG-CO2-070-025</t>
  </si>
  <si>
    <t>Gas Carbondioxide CO2 10 m3 (40Kg) Industri Grade GRMP</t>
  </si>
  <si>
    <t>GS-01-IG-CO2-100-040</t>
  </si>
  <si>
    <t>Gas Carbondioxide CO2 10 m3 (45Kg) Industri Grade GRMP</t>
  </si>
  <si>
    <t>GS-01-IG-CO2-100-045</t>
  </si>
  <si>
    <t>Gas Carbondioxide CO2 0,3 m3 (1Kg) Food Grade GRMP</t>
  </si>
  <si>
    <t>GS-01-FG-CO2-003-001</t>
  </si>
  <si>
    <t>Gas Carbondioxide CO2 0,5m3 (2Kg) Food Grade GRMP</t>
  </si>
  <si>
    <t>GS-01-FG-CO2-005-002</t>
  </si>
  <si>
    <t>Gas Carbondioxide CO2 0,5m3 (3Kg) Food Grade GRMP</t>
  </si>
  <si>
    <t>GS-01-FG-CO2-005-003</t>
  </si>
  <si>
    <t>Gas Carbondioxide CO2 1 m3 (4Kg) Food Grade GRMP</t>
  </si>
  <si>
    <t>GS-01-FG-CO2-010-004</t>
  </si>
  <si>
    <t>Gas Carbondioxide CO2 1 m3 (5 Kg) Food Grade GRMP</t>
  </si>
  <si>
    <t>GS-01-FG-CO2-010-005</t>
  </si>
  <si>
    <t>Gas Carbondioxide CO2 1,5m3 (6Kg) Food Grade GRMP</t>
  </si>
  <si>
    <t>GS-01-FG-CO2-015-006</t>
  </si>
  <si>
    <t>Gas Carbondioxide CO2 2 m3 (8Kg) Food Grade GRMP</t>
  </si>
  <si>
    <t>GS-01-FG-CO2-020-008</t>
  </si>
  <si>
    <t>Gas Carbondioxide CO2 3 m3 (12Kg) Food Grade GRMP</t>
  </si>
  <si>
    <t>GS-01-FG-CO2-030-012</t>
  </si>
  <si>
    <t>Gas Carbondioxide CO2 6 m3 (15Kg) Food Grade GRMP</t>
  </si>
  <si>
    <t>GS-01-FG-CO2-060-015</t>
  </si>
  <si>
    <t>Gas Carbondioxide CO2 6 m3 (20Kg) Food Grade GRMP</t>
  </si>
  <si>
    <t>GS-01-FG-CO2-060-020</t>
  </si>
  <si>
    <t>Gas Carbondioxide CO2 7 m3(20Kg) Food Grade GRMP</t>
  </si>
  <si>
    <t>GS-01-FG-CO2-070-020</t>
  </si>
  <si>
    <t>Gas Carbondioxide CO2 6 m3 (25Kg) Food Grade GRMP</t>
  </si>
  <si>
    <t>GS-01-FG-CO2-060-025</t>
  </si>
  <si>
    <t>Gas Carbondioxide CO2 7 m3 (25Kg) Food Grade GRMP</t>
  </si>
  <si>
    <t>GS-01-FG-CO2-070-025</t>
  </si>
  <si>
    <t>Gas Carbondioxide CO2 6m3 (45Kg) Food Grade GRMP</t>
  </si>
  <si>
    <t>GS-01-FG-CO2-060-045</t>
  </si>
  <si>
    <t>Gas Carbondioxide 30 Kg GRMP</t>
  </si>
  <si>
    <t>GS-01-00-CO2-030-000</t>
  </si>
  <si>
    <t>Gas Carbondioxide 9 kg GRMP</t>
  </si>
  <si>
    <t>GS-01-00-CO2-009-000</t>
  </si>
  <si>
    <t>Gas Carbondioxide 40 Kg GRMP</t>
  </si>
  <si>
    <t>GS-01-00-CO2-040-000</t>
  </si>
  <si>
    <t>Gas Carbondioxide 45 Kg GRMP</t>
  </si>
  <si>
    <t>GS-01-00-CO2-045-000</t>
  </si>
  <si>
    <t>Gas Carbonmonoxide 6 M3 GRMP</t>
  </si>
  <si>
    <t>GS-01-00-CO2-006-000</t>
  </si>
  <si>
    <t>Gas Nitrousoxide N2O 0,3m3  (1Kg) GRMP</t>
  </si>
  <si>
    <t>GS-01-00-N2O-003-001</t>
  </si>
  <si>
    <t>Gas Nitrousoxide N2O 0,5m3  (2Kg) GRMP</t>
  </si>
  <si>
    <t>GS-01-00-N2O-005-002</t>
  </si>
  <si>
    <t>Gas Nitrousoxide N2O 1m3  (4Kg) GRMP</t>
  </si>
  <si>
    <t>GS-01-00-N2O-010-004</t>
  </si>
  <si>
    <t>Gas Nitrousoxide N2O 1,5m3  (6Kg) GRMP</t>
  </si>
  <si>
    <t>GS-01-00-N2O-015-006</t>
  </si>
  <si>
    <t>Gas Nitrousoxide N2O 2m3  (8Kg) GRMP</t>
  </si>
  <si>
    <t>GS-01-00-N2O-020-008</t>
  </si>
  <si>
    <t>Gas Nitrousoxide N2O 3m3 (12Kg) GRMP</t>
  </si>
  <si>
    <t>GS-01-00-N2O-030-012</t>
  </si>
  <si>
    <t>Gas Nitrousoxide N2O 6m3 (15Kg) GRMP</t>
  </si>
  <si>
    <t>GS-01-00-N2O-060-015</t>
  </si>
  <si>
    <t>Gas Nitrousoxide N2O 7m3  (15Kg) GRMP</t>
  </si>
  <si>
    <t>GS-01-00-N2O-070-015</t>
  </si>
  <si>
    <t>Gas Nitrousoxide N2O 6m3 (20Kg) GRMP</t>
  </si>
  <si>
    <t>GS-01-00-N2O-060-020</t>
  </si>
  <si>
    <t>Gas Nitrousoxide N2O 7m3 (20Kg) GRMP</t>
  </si>
  <si>
    <t>GS-01-00-N2O-070-020</t>
  </si>
  <si>
    <t>Gas Nitrousoxide N2O 6m3  (25Kg) GRMP</t>
  </si>
  <si>
    <t>GS-01-00-N2O-060-025</t>
  </si>
  <si>
    <t>Gas Nitrousoxide N2O 7m3  (25Kg) GRMP</t>
  </si>
  <si>
    <t>GS-01-00-N2O-070-025</t>
  </si>
  <si>
    <t>Gas Nitrousoxide N2O 10m3  GRMP</t>
  </si>
  <si>
    <t>GS-01-00-N2O-100-000</t>
  </si>
  <si>
    <t>Gas Argon 0,3 m3 WG GRMP</t>
  </si>
  <si>
    <t>GS-01-00-AR0-003-WG0</t>
  </si>
  <si>
    <t>Gas Argon 0,5 m3 WG GRMP</t>
  </si>
  <si>
    <t>GS-01-00-AR0-005-WG0</t>
  </si>
  <si>
    <t>Gas Argon 1 m3 WG GRMP</t>
  </si>
  <si>
    <t>GS-01-00-AR0-010-WG0</t>
  </si>
  <si>
    <t>Gas Argon 1,5 m3 WG GRMP</t>
  </si>
  <si>
    <t>GS-01-00-AR0-015-WG0</t>
  </si>
  <si>
    <t>Gas Argon 2 m3 WG GRMP</t>
  </si>
  <si>
    <t>GS-01-00-AR0-020-WG0</t>
  </si>
  <si>
    <t>Gas Argon 3 m3 WG GRMP</t>
  </si>
  <si>
    <t>GS-01-00-AR0-030-WG0</t>
  </si>
  <si>
    <t>Gas Argon 6 m3 WG GRMP</t>
  </si>
  <si>
    <t>GS-01-00-AR0-060-WG0</t>
  </si>
  <si>
    <t>Gas Argon 7 m3 WG GRMP</t>
  </si>
  <si>
    <t>GS-01-00-AR0-070-WG0</t>
  </si>
  <si>
    <t>Gas Argon 0,3 m3 HP GRMP</t>
  </si>
  <si>
    <t>GS-01-00-AR0-003-HP0</t>
  </si>
  <si>
    <t>Gas Argon 0,5 m3 HP GRMP</t>
  </si>
  <si>
    <t>GS-01-00-AR0-005-HP0</t>
  </si>
  <si>
    <t>Gas Argon 1 m3 HP GRMP</t>
  </si>
  <si>
    <t>GS-01-00-AR0-010-HP0</t>
  </si>
  <si>
    <t>Gas Argon 1,5 m3 HP GRMP</t>
  </si>
  <si>
    <t>GS-01-00-AR0-015-HP0</t>
  </si>
  <si>
    <t>Gas Argon 2 m3 HP GRMP</t>
  </si>
  <si>
    <t>GS-01-00-AR0-020-HP0</t>
  </si>
  <si>
    <t>Gas Argon 6 m3HP GRMP</t>
  </si>
  <si>
    <t>GS-01-00-AR0-060-HP0</t>
  </si>
  <si>
    <t>Gas Argon 7 m3 HP GRMP</t>
  </si>
  <si>
    <t>GS-01-00-AR0-070-HP0</t>
  </si>
  <si>
    <t>Gas Argon 10 m3 HP GRMP</t>
  </si>
  <si>
    <t>GS-01-00-AR0-100-HP0</t>
  </si>
  <si>
    <t>Gas Argon 0,3 m3 UHP GRMP</t>
  </si>
  <si>
    <t>GS-01-00-AR0-003-UHP</t>
  </si>
  <si>
    <t>Gas Argon 0,5 m3 UHP GRMP</t>
  </si>
  <si>
    <t>GS-01-00-AR0-005-UHP</t>
  </si>
  <si>
    <t>Gas Argon 1 m3 UHP GRMP</t>
  </si>
  <si>
    <t>GS-01-00-AR0-010-UHP</t>
  </si>
  <si>
    <t>Gas Argon 1,5 m3 UHP GRMP</t>
  </si>
  <si>
    <t>GS-01-00-AR0-015-UHP</t>
  </si>
  <si>
    <t>Gas Argon 2 m3 UHP GRMP</t>
  </si>
  <si>
    <t>GS-01-00-AR0-020-UHP</t>
  </si>
  <si>
    <t>Gas Argon 6 m3 UHP GRMP</t>
  </si>
  <si>
    <t>GS-01-00-AR0-060-UHP</t>
  </si>
  <si>
    <t>Gas Argon 7 m3 UHP GRMP</t>
  </si>
  <si>
    <t>GS-01-00-AR0-070-UHP</t>
  </si>
  <si>
    <t>Gas Argon 10 m3 UHP GRMP</t>
  </si>
  <si>
    <t>GS-01-00-AR0-100-UHP</t>
  </si>
  <si>
    <t>Purging Gas Argon 6 m3 WG GRMP</t>
  </si>
  <si>
    <t>GS-01-00-PR0-060-WG0</t>
  </si>
  <si>
    <t>Purging Gas Argon 7 m3 WG GRMP</t>
  </si>
  <si>
    <t>GS-01-00-PR0-070-WG0</t>
  </si>
  <si>
    <t>Purging Gas Argon 10 m3 WG GRMP</t>
  </si>
  <si>
    <t>GS-01-00-PR0-100-WG0</t>
  </si>
  <si>
    <t>Gas Argon Mix CO2 6m3 GRMP</t>
  </si>
  <si>
    <t>GS-01-00-ARC-060-NNN</t>
  </si>
  <si>
    <t>Mixed Gas (60% CO + 40% CO2) GRMP</t>
  </si>
  <si>
    <t>GS-01-00-CCO-000-NNN</t>
  </si>
  <si>
    <t>Gas Acetylene WG (2-3 kg) GRMP</t>
  </si>
  <si>
    <t>GS-01-00-ACY-002-WG0</t>
  </si>
  <si>
    <t>Gas Acetylene HP/UHP (acetone max diisi 6kg) GRMP</t>
  </si>
  <si>
    <t>GS-01-00-ACY-006-NNN</t>
  </si>
  <si>
    <t>Gas Acetylene HP 2 kg GRMP</t>
  </si>
  <si>
    <t>GS-01-00-ACY-020-HP0</t>
  </si>
  <si>
    <t>Gas Acetylene HP 3 Kg GRMP</t>
  </si>
  <si>
    <t>GS-01-00-ACY-030-HP0</t>
  </si>
  <si>
    <t>Gas Acetylene HP 4 Kg GRMP</t>
  </si>
  <si>
    <t>GS-01-00-ACY-040-HP0</t>
  </si>
  <si>
    <t>Gas Acetylene UHP 2 kg GRMP</t>
  </si>
  <si>
    <t>GS-01-00-ACY-020-UHP</t>
  </si>
  <si>
    <t>Gas Acetylene UHP 3 Kg GRMP</t>
  </si>
  <si>
    <t>GS-01-00-ACY-030-UHP</t>
  </si>
  <si>
    <t>Gas Acetylene UHP 6 Kg GRMP</t>
  </si>
  <si>
    <t>GS-01-00-ACY-060-UHP</t>
  </si>
  <si>
    <t>Gas Acetylene WG + Acetone 4Kg GRMP</t>
  </si>
  <si>
    <t>GS-01-00-ACY-040-WG0</t>
  </si>
  <si>
    <t>Gas Acetylene 3 Kg + Aceton 5 Kg GRMP</t>
  </si>
  <si>
    <t>GS-01-00-ACY-030-000</t>
  </si>
  <si>
    <t>Gas Acetylene WG + Aceton 6 Kg GRMP</t>
  </si>
  <si>
    <t>GS-01-00-ACY-060-WG0</t>
  </si>
  <si>
    <t>Acetone (1 Kg) GRMP</t>
  </si>
  <si>
    <t>GS-01-00-ACT-001-000</t>
  </si>
  <si>
    <t>Aceton 4kg GRMP</t>
  </si>
  <si>
    <t>GS-01-00-ACT-040-000</t>
  </si>
  <si>
    <t>Aceton 6 Kg  GRMP</t>
  </si>
  <si>
    <t>GS-01-00-ACT-060-000</t>
  </si>
  <si>
    <t>Gas Hidrogen 0,3M3, 1M3 WG GRMP</t>
  </si>
  <si>
    <t>GS-01-00-H20-003-WG0</t>
  </si>
  <si>
    <t>Gas Hidrogen 1M3 WG GRMP</t>
  </si>
  <si>
    <t>GS-01-00-H21-001-WG0</t>
  </si>
  <si>
    <t>Gas Hidrogen 1,5M3 WG GRMP</t>
  </si>
  <si>
    <t>GS-01-00-H20-015-WG0</t>
  </si>
  <si>
    <t>Gas Hidrogen 2M3 WG GRMP</t>
  </si>
  <si>
    <t>GS-01-00-H20-020-WG0</t>
  </si>
  <si>
    <t>Gas Hidrogen 6M3 WG refill GRMP</t>
  </si>
  <si>
    <t>GS-01-00-H20-060-WG0</t>
  </si>
  <si>
    <t>Gas Hidrogen 7M3 WG refill GRMP</t>
  </si>
  <si>
    <t>GS-01-00-H20-070-WG0</t>
  </si>
  <si>
    <t>Gas Hidrogen 10M3 WG (68L - 150Bar) GRMP</t>
  </si>
  <si>
    <t>GS-01-00-H20-010-WG0</t>
  </si>
  <si>
    <t>Gas Hidrogen 0,5M3 HP GRMP</t>
  </si>
  <si>
    <t>GS-01-00-H20-005-HP0</t>
  </si>
  <si>
    <t>Gas Hidrogen 1M3 HP GRMP</t>
  </si>
  <si>
    <t>GS-01-00-H20-010-HP0</t>
  </si>
  <si>
    <t>Gas Hidrogen 1,5 M3 HP GRMP</t>
  </si>
  <si>
    <t>GS-01-00-H20-015-HP0</t>
  </si>
  <si>
    <t>Gas Hidrogen 2 M3 HP GRMP</t>
  </si>
  <si>
    <t>GS-01-00-H20-020-HP0</t>
  </si>
  <si>
    <t>Gas Hidrogen 6M3 HP refill GRMP</t>
  </si>
  <si>
    <t>GS-01-00-H20-060-HP0</t>
  </si>
  <si>
    <t>Gas Hidrogen 7M3 HP refill GRMP</t>
  </si>
  <si>
    <t>GS-01-00-H20-070-HP0</t>
  </si>
  <si>
    <t>Gas Hidrogen 0,3M3, UHP GRMP</t>
  </si>
  <si>
    <t>GS-01-00-H20-003-UHP</t>
  </si>
  <si>
    <t>Gas Hidrogen 0,5M3, UHP GRMP</t>
  </si>
  <si>
    <t>GS-01-00-H20-005-UHP</t>
  </si>
  <si>
    <t>Gas Hidrogen 1M3, UHP GRMP</t>
  </si>
  <si>
    <t>GS-01-00-H20-010-UHP</t>
  </si>
  <si>
    <t>Gas Hidrogen 2M3, UHP GRMP</t>
  </si>
  <si>
    <t>GS-01-00-H20-020-UHP</t>
  </si>
  <si>
    <t>Gas Hidrogen 6M3 UHP GRMP</t>
  </si>
  <si>
    <t>GS-01-00-H20-060-UHP</t>
  </si>
  <si>
    <t>Gas Hidrogen 7M3 UHP GRMP</t>
  </si>
  <si>
    <t>GS-01-00-H20-070-UHP</t>
  </si>
  <si>
    <t>Gas Hidrogen 10M3 UHP (50L - 200Bar) GRMP</t>
  </si>
  <si>
    <t>GS-01-00-H20-050-UHP</t>
  </si>
  <si>
    <t>Gas Hidrogen 10M3 UHP (68L - 150Bar) GRMP</t>
  </si>
  <si>
    <t>GS-01-00-H20-068-UHP</t>
  </si>
  <si>
    <t>Gas Udara Tekan 1M3 GRMR</t>
  </si>
  <si>
    <t>GS-02-00-UT0-010-000</t>
  </si>
  <si>
    <t>Gas Udara Tekan 1,5M3 GRMR</t>
  </si>
  <si>
    <t>GS-02-00-UT0-015-000</t>
  </si>
  <si>
    <t>Gas Udara Tekan 2M3 GRMR</t>
  </si>
  <si>
    <t>GS-02-00-UT0-020-000</t>
  </si>
  <si>
    <t>Gas Udara Tekan 6m3 GRMR</t>
  </si>
  <si>
    <t>GS-02-00-UT0-060-000</t>
  </si>
  <si>
    <t>Gas Udara Tekan 7m3 GRMR</t>
  </si>
  <si>
    <t>GS-02-00-UT0-070-000</t>
  </si>
  <si>
    <t>Gas Udara Tekan 10m3 HP (50L-200Bar) GRMR</t>
  </si>
  <si>
    <t>GS-02-00-UT0-100-HPO</t>
  </si>
  <si>
    <t>Gas Udara Tekan 10m3 UHP (50L-200Bar) GRMR</t>
  </si>
  <si>
    <t>GS-02-00-UT0-100-UHP</t>
  </si>
  <si>
    <t>Gas Udara Tekan 10 m3 - WG (68L-150Bar) GRMR</t>
  </si>
  <si>
    <t>GS-02-00-UT0-100-WG0</t>
  </si>
  <si>
    <t>Gas Helium 1 M3 WG GRMR</t>
  </si>
  <si>
    <t>GS-02-00-HE0-003-WG0</t>
  </si>
  <si>
    <t>Gas Helium 0,3 M3 UHP GRMR</t>
  </si>
  <si>
    <t>GS-02-00-HE0-005-UHP</t>
  </si>
  <si>
    <t>Gas Helium 0,5 M3 UHP GRMR</t>
  </si>
  <si>
    <t>GS-02-00-HE0-010-UHP</t>
  </si>
  <si>
    <t>Gas Helium 1 M3 UHP GRMR</t>
  </si>
  <si>
    <t>GS-02-00-HE0-015-UHP</t>
  </si>
  <si>
    <t>Gas Helium 1,5 M3 UHP GRMR</t>
  </si>
  <si>
    <t>GS-02-00-HE0-020-UHP</t>
  </si>
  <si>
    <t>Gas Helium 2 M3 UHP GRMR</t>
  </si>
  <si>
    <t>GS-02-00-HE0-030-UHP</t>
  </si>
  <si>
    <t>Gas Helium 6 M3 UHP GRMR</t>
  </si>
  <si>
    <t>GS-02-00-HE0-060-UHP</t>
  </si>
  <si>
    <t>Gas Helium 7 M3 UHP GRMR</t>
  </si>
  <si>
    <t>GS-02-00-HE0-070-UHP</t>
  </si>
  <si>
    <t>Gas Helium 10 M3 UHP GRMR</t>
  </si>
  <si>
    <t>GS-02-00-HE0-100-UHP</t>
  </si>
  <si>
    <t>Gas Carbondioxide CO2 0,3 m3 (1Kg) Industri Grade GRMR</t>
  </si>
  <si>
    <t>GS-02-IG-CO2-003-001</t>
  </si>
  <si>
    <t>Gas Carbondioxide CO2 0,5 m3 (2Kg) Industri Grade GRMR</t>
  </si>
  <si>
    <t>GS-02-IG-CO2-005-002</t>
  </si>
  <si>
    <t>Gas Carbondioxide CO2 1 m3 (4Kg) Industri Grade GRMR</t>
  </si>
  <si>
    <t>GS-02-IG-CO2-010-004</t>
  </si>
  <si>
    <t>Gas Carbondioxide CO2 1,5m3 (5Kg) Industri Grade GRMR</t>
  </si>
  <si>
    <t>GS-02-IG-CO2-015-005</t>
  </si>
  <si>
    <t>Gas Carbondioxide CO2 1,5m3 (6Kg) Industri Grade GRMR</t>
  </si>
  <si>
    <t>GS-02-IG-CO2-015-006</t>
  </si>
  <si>
    <t>Gas Carbondioxide CO2 2 m3 (8Kg) Industri Grade GRMR</t>
  </si>
  <si>
    <t>GS-02-IG-CO2-020-008</t>
  </si>
  <si>
    <t>Gas Carbondioxide CO2 6 m3 (15Kg) Industri Grade GRMR</t>
  </si>
  <si>
    <t>GS-02-IG-CO2-060-015</t>
  </si>
  <si>
    <t>Gas Carbondioxide CO2 6 m3 (20Kg) Industri Grade GRMR</t>
  </si>
  <si>
    <t>GS-02-IG-CO2-060-020</t>
  </si>
  <si>
    <t>Gas Carbondioxide CO2 7 m3 (20Kg) Industri Grade GRMR</t>
  </si>
  <si>
    <t>GS-02-IG-CO2-070-020</t>
  </si>
  <si>
    <t>Gas Carbondioxide CO2 6 m3 (25Kg) Industri Grade GRMR</t>
  </si>
  <si>
    <t>GS-02-IG-CO2-060-025</t>
  </si>
  <si>
    <t>Gas Carbondioxide CO2 7 m3 (25Kg) Industri Grade GRMR</t>
  </si>
  <si>
    <t>GS-02-IG-CO2-070-025</t>
  </si>
  <si>
    <t>Gas Carbondioxide CO2 10 m3 (40Kg) Industri Grade GRMR</t>
  </si>
  <si>
    <t>GS-02-IG-CO2-100-040</t>
  </si>
  <si>
    <t>Gas Carbondioxide CO2 10 m3 (45Kg) Industri Grade GRMR</t>
  </si>
  <si>
    <t>GS-02-IG-CO2-100-045</t>
  </si>
  <si>
    <t>Gas Carbondioxide CO2 0,3 m3 (1Kg) Food Grade GRMR</t>
  </si>
  <si>
    <t>GS-02-FG-CO2-003-001</t>
  </si>
  <si>
    <t>Gas Carbondioxide CO2 0,5m3 (2Kg) Food Grade GRMR</t>
  </si>
  <si>
    <t>GS-02-FG-CO2-005-002</t>
  </si>
  <si>
    <t>Gas Carbondioxide CO2 0,5m3 (3Kg) Food Grade GRMR</t>
  </si>
  <si>
    <t>GS-02-FG-CO2-005-003</t>
  </si>
  <si>
    <t>Gas Carbondioxide CO2 1 m3 (4Kg) Food Grade GRMR</t>
  </si>
  <si>
    <t>GS-02-FG-CO2-010-004</t>
  </si>
  <si>
    <t>Gas Carbondioxide CO2 1 m3 (5 Kg) Food Grade GRMR</t>
  </si>
  <si>
    <t>GS-02-FG-CO2-010-005</t>
  </si>
  <si>
    <t>Gas Carbondioxide CO2 1,5m3 (6Kg) Food Grade GRMR</t>
  </si>
  <si>
    <t>GS-02-FG-CO2-015-006</t>
  </si>
  <si>
    <t>Gas Carbondioxide CO2 2 m3 (8Kg) Food Grade GRMR</t>
  </si>
  <si>
    <t>GS-02-FG-CO2-020-008</t>
  </si>
  <si>
    <t>Gas Carbondioxide CO2 3 m3 (12Kg) Food Grade GRMR</t>
  </si>
  <si>
    <t>GS-02-FG-CO2-030-012</t>
  </si>
  <si>
    <t>Gas Carbondioxide CO2 6 m3 (15Kg) Food Grade GRMR</t>
  </si>
  <si>
    <t>GS-02-FG-CO2-060-015</t>
  </si>
  <si>
    <t>Gas Carbondioxide CO2 6 m3 (20Kg) Food Grade GRMR</t>
  </si>
  <si>
    <t>GS-02-FG-CO2-060-020</t>
  </si>
  <si>
    <t>Gas Carbondioxide CO2 7 m3(20Kg) Food Grade GRMR</t>
  </si>
  <si>
    <t>GS-02-FG-CO2-070-020</t>
  </si>
  <si>
    <t>Gas Carbondioxide CO2 6 m3 (25Kg) Food Grade GRMR</t>
  </si>
  <si>
    <t>GS-02-FG-CO2-060-025</t>
  </si>
  <si>
    <t>Gas Carbondioxide CO2 7 m3 (25Kg) Food Grade GRMR</t>
  </si>
  <si>
    <t>GS-02-FG-CO2-070-025</t>
  </si>
  <si>
    <t>Gas Carbondioxide CO2 6m3 (45Kg) Food Grade GRMR</t>
  </si>
  <si>
    <t>GS-02-FG-CO2-060-045</t>
  </si>
  <si>
    <t>Gas Carbondioxide 30 Kg GRMR</t>
  </si>
  <si>
    <t>GS-02-00-CO2-030-000</t>
  </si>
  <si>
    <t>Gas Carbondioxide 9 kg GRMR</t>
  </si>
  <si>
    <t>GS-02-00-CO2-009-000</t>
  </si>
  <si>
    <t>Gas Carbondioxide 40 Kg GRMR</t>
  </si>
  <si>
    <t>GS-02-00-CO2-040-000</t>
  </si>
  <si>
    <t>Gas Carbondioxide 45 Kg GRMR</t>
  </si>
  <si>
    <t>GS-02-00-CO2-045-000</t>
  </si>
  <si>
    <t>Gas Carbonmonoxide 6 M3 GRMR</t>
  </si>
  <si>
    <t>GS-02-00-CO2-006-000</t>
  </si>
  <si>
    <t>Gas Nitrousoxide N2O 0,3m3  (1Kg) GRMR</t>
  </si>
  <si>
    <t>GS-02-00-N2O-003-001</t>
  </si>
  <si>
    <t>Gas Nitrousoxide N2O 0,5m3  (2Kg) GRMR</t>
  </si>
  <si>
    <t>GS-02-00-N2O-005-002</t>
  </si>
  <si>
    <t>Gas Nitrousoxide N2O 1m3  (4Kg) GRMR</t>
  </si>
  <si>
    <t>GS-02-00-N2O-010-004</t>
  </si>
  <si>
    <t>Gas Nitrousoxide N2O 1,5m3  (6Kg) GRMR</t>
  </si>
  <si>
    <t>GS-02-00-N2O-015-006</t>
  </si>
  <si>
    <t>Gas Nitrousoxide N2O 2m3  (8Kg) GRMR</t>
  </si>
  <si>
    <t>GS-02-00-N2O-020-008</t>
  </si>
  <si>
    <t>Gas Nitrousoxide N2O 3m3 (12Kg) GRMR</t>
  </si>
  <si>
    <t>GS-02-00-N2O-030-012</t>
  </si>
  <si>
    <t>Gas Nitrousoxide N2O 6m3 (15Kg) GRMR</t>
  </si>
  <si>
    <t>GS-02-00-N2O-060-015</t>
  </si>
  <si>
    <t>Gas Nitrousoxide N2O 7m3  (15Kg) GRMR</t>
  </si>
  <si>
    <t>GS-02-00-N2O-070-015</t>
  </si>
  <si>
    <t>Gas Nitrousoxide N2O 6m3 (20Kg) GRMR</t>
  </si>
  <si>
    <t>GS-02-00-N2O-060-020</t>
  </si>
  <si>
    <t>Gas Nitrousoxide N2O 7m3 (20Kg) GRMR</t>
  </si>
  <si>
    <t>GS-02-00-N2O-070-020</t>
  </si>
  <si>
    <t>Gas Nitrousoxide N2O 6m3  (25Kg) GRMR</t>
  </si>
  <si>
    <t>GS-02-00-N2O-060-025</t>
  </si>
  <si>
    <t>Gas Nitrousoxide N2O 7m3  (25Kg) GRMR</t>
  </si>
  <si>
    <t>GS-02-00-N2O-070-025</t>
  </si>
  <si>
    <t>Gas Nitrousoxide N2O 10m3  GRMR</t>
  </si>
  <si>
    <t>GS-02-00-N2O-100-000</t>
  </si>
  <si>
    <t>Gas Argon 0,3 m3 WG GRMR</t>
  </si>
  <si>
    <t>GS-02-00-AR0-003-WG0</t>
  </si>
  <si>
    <t>Gas Argon 0,5 m3 WG GRMR</t>
  </si>
  <si>
    <t>GS-02-00-AR0-005-WG0</t>
  </si>
  <si>
    <t>Gas Argon 1 m3 WG GRMR</t>
  </si>
  <si>
    <t>GS-02-00-AR0-010-WG0</t>
  </si>
  <si>
    <t>Gas Argon 1,5 m3 WG GRMR</t>
  </si>
  <si>
    <t>GS-02-00-AR0-015-WG0</t>
  </si>
  <si>
    <t>Gas Argon 2 m3 WG GRMR</t>
  </si>
  <si>
    <t>GS-02-00-AR0-020-WG0</t>
  </si>
  <si>
    <t>Gas Argon 3 m3 WG GRMR</t>
  </si>
  <si>
    <t>GS-02-00-AR0-030-WG0</t>
  </si>
  <si>
    <t>Gas Argon 6 m3 WG GRMR</t>
  </si>
  <si>
    <t>GS-02-00-AR0-060-WG0</t>
  </si>
  <si>
    <t>Gas Argon 7 m3 WG GRMR</t>
  </si>
  <si>
    <t>GS-02-00-AR0-070-WG0</t>
  </si>
  <si>
    <t>Gas Argon 0,3 m3 HP GRMR</t>
  </si>
  <si>
    <t>GS-02-00-AR0-003-HP0</t>
  </si>
  <si>
    <t>Gas Argon 0,5 m3 HP GRMR</t>
  </si>
  <si>
    <t>GS-02-00-AR0-005-HP0</t>
  </si>
  <si>
    <t>Gas Argon 1 m3 HP GRMR</t>
  </si>
  <si>
    <t>GS-02-00-AR0-010-HP0</t>
  </si>
  <si>
    <t>Gas Argon 1,5 m3 HP GRMR</t>
  </si>
  <si>
    <t>GS-02-00-AR0-015-HP0</t>
  </si>
  <si>
    <t>Gas Argon 2 m3 HP GRMR</t>
  </si>
  <si>
    <t>GS-02-00-AR0-020-HP0</t>
  </si>
  <si>
    <t>Gas Argon 6 m3HP GRMR</t>
  </si>
  <si>
    <t>GS-02-00-AR0-060-HP0</t>
  </si>
  <si>
    <t>Gas Argon 7 m3 HP GRMR</t>
  </si>
  <si>
    <t>GS-02-00-AR0-070-HP0</t>
  </si>
  <si>
    <t>Gas Argon 10 m3 HP GRMR</t>
  </si>
  <si>
    <t>GS-02-00-AR0-100-HP0</t>
  </si>
  <si>
    <t>Gas Argon 0,3 m3 UHP GRMR</t>
  </si>
  <si>
    <t>GS-02-00-AR0-003-UHP</t>
  </si>
  <si>
    <t>Gas Argon 0,5 m3 UHP GRMR</t>
  </si>
  <si>
    <t>GS-02-00-AR0-005-UHP</t>
  </si>
  <si>
    <t>Gas Argon 1 m3 UHP GRMR</t>
  </si>
  <si>
    <t>GS-02-00-AR0-010-UHP</t>
  </si>
  <si>
    <t>Gas Argon 1,5 m3 UHP GRMR</t>
  </si>
  <si>
    <t>GS-02-00-AR0-015-UHP</t>
  </si>
  <si>
    <t>Gas Argon 2 m3 UHP GRMR</t>
  </si>
  <si>
    <t>GS-02-00-AR0-020-UHP</t>
  </si>
  <si>
    <t>Gas Argon 6 m3 UHP GRMR</t>
  </si>
  <si>
    <t>GS-02-00-AR0-060-UHP</t>
  </si>
  <si>
    <t>Gas Argon 7 m3 UHP GRMR</t>
  </si>
  <si>
    <t>GS-02-00-AR0-070-UHP</t>
  </si>
  <si>
    <t>Gas Argon 10 m3 UHP GRMR</t>
  </si>
  <si>
    <t>GS-02-00-AR0-100-UHP</t>
  </si>
  <si>
    <t>Purging Gas Argon 6 m3 WG GRMR</t>
  </si>
  <si>
    <t>GS-02-00-PR0-060-WG0</t>
  </si>
  <si>
    <t>Purging Gas Argon 7 m3 WG GRMR</t>
  </si>
  <si>
    <t>GS-02-00-PR0-070-WG0</t>
  </si>
  <si>
    <t>Purging Gas Argon 10 m3 WG GRMR</t>
  </si>
  <si>
    <t>GS-02-00-PR0-100-WG0</t>
  </si>
  <si>
    <t>Gas Argon Mix CO2 6m3 GRMR</t>
  </si>
  <si>
    <t>GS-02-00-ARC-060-NNN</t>
  </si>
  <si>
    <t>Mixed Gas (60% CO + 40% CO2) GRMR</t>
  </si>
  <si>
    <t>GS-02-00-CCO-000-NNN</t>
  </si>
  <si>
    <t>Gas Acetylene WG (2-3 kg) GRMR</t>
  </si>
  <si>
    <t>GS-02-00-ACY-002-WG0</t>
  </si>
  <si>
    <t>Gas Acetylene HP/UHP (acetone max diisi 6kg) GRMR</t>
  </si>
  <si>
    <t>GS-02-00-ACY-006-NNN</t>
  </si>
  <si>
    <t>Gas Acetylene HP 2 kg GRMR</t>
  </si>
  <si>
    <t>GS-02-00-ACY-020-HP0</t>
  </si>
  <si>
    <t>Gas Acetylene HP 3 Kg GRMR</t>
  </si>
  <si>
    <t>GS-02-00-ACY-030-HP0</t>
  </si>
  <si>
    <t>Gas Acetylene HP 4 Kg GRMR</t>
  </si>
  <si>
    <t>GS-02-00-ACY-040-HP0</t>
  </si>
  <si>
    <t>Gas Acetylene UHP 2 kg GRMR</t>
  </si>
  <si>
    <t>GS-02-00-ACY-020-UHP</t>
  </si>
  <si>
    <t>Gas Acetylene UHP 3 Kg GRMR</t>
  </si>
  <si>
    <t>GS-02-00-ACY-030-UHP</t>
  </si>
  <si>
    <t>Gas Acetylene UHP 6 Kg GRMR</t>
  </si>
  <si>
    <t>GS-02-00-ACY-060-UHP</t>
  </si>
  <si>
    <t>Gas Acetylene WG + Acetone 4Kg GRMR</t>
  </si>
  <si>
    <t>GS-02-00-ACY-040-WG0</t>
  </si>
  <si>
    <t>Gas Acetylene 3 Kg + Aceton 5 Kg GRMR</t>
  </si>
  <si>
    <t>GS-02-00-ACY-030-000</t>
  </si>
  <si>
    <t>Gas Acetylene WG + Aceton 6 Kg GRMR</t>
  </si>
  <si>
    <t>GS-02-00-ACY-060-WG0</t>
  </si>
  <si>
    <t>Acetone (1 Kg) GRMR</t>
  </si>
  <si>
    <t>GS-02-00-ACT-001-000</t>
  </si>
  <si>
    <t>Aceton 4kg GRMR</t>
  </si>
  <si>
    <t>GS-02-00-ACT-040-000</t>
  </si>
  <si>
    <t>Aceton 6 Kg  GRMR</t>
  </si>
  <si>
    <t>GS-02-00-ACT-060-000</t>
  </si>
  <si>
    <t>Gas Hidrogen 0,3M3 WG GRMR</t>
  </si>
  <si>
    <t>GS-02-00-H20-003-WG0</t>
  </si>
  <si>
    <t>Gas Hidrogen 1M3 WG GRMR</t>
  </si>
  <si>
    <t>GS-02-00-H21-001-WG0</t>
  </si>
  <si>
    <t>Gas Hidrogen 1,5M3 WG GRMR</t>
  </si>
  <si>
    <t>GS-02-00-H20-015-WG0</t>
  </si>
  <si>
    <t>Gas Hidrogen 2M3 WG GRMR</t>
  </si>
  <si>
    <t>GS-02-00-H20-020-WG0</t>
  </si>
  <si>
    <t>Gas Hidrogen 6M3 WG refill GRMR</t>
  </si>
  <si>
    <t>GS-02-00-H20-060-WG0</t>
  </si>
  <si>
    <t>Gas Hidrogen 7M3 WG refill GRMR</t>
  </si>
  <si>
    <t>GS-02-00-H20-070-WG0</t>
  </si>
  <si>
    <t>Gas Hidrogen 10M3 WG (68L - 150Bar) GRMR</t>
  </si>
  <si>
    <t>GS-02-00-H20-010-WG0</t>
  </si>
  <si>
    <t>Gas Hidrogen 0,5M3 HP GRMR</t>
  </si>
  <si>
    <t>GS-02-00-H20-005-HP0</t>
  </si>
  <si>
    <t>Gas Hidrogen 1M3 HP GRMR</t>
  </si>
  <si>
    <t>GS-02-00-H20-010-HP0</t>
  </si>
  <si>
    <t>Gas Hidrogen 1,5 M3 HP GRMR</t>
  </si>
  <si>
    <t>GS-02-00-H20-015-HP0</t>
  </si>
  <si>
    <t>Gas Hidrogen 2 M3 HP GRMR</t>
  </si>
  <si>
    <t>GS-02-00-H20-020-HP0</t>
  </si>
  <si>
    <t>Gas Hidrogen 6M3 HP refill GRMR</t>
  </si>
  <si>
    <t>GS-02-00-H20-060-HP0</t>
  </si>
  <si>
    <t>Gas Hidrogen 7M3 HP refill GRMR</t>
  </si>
  <si>
    <t>GS-02-00-H20-070-HP0</t>
  </si>
  <si>
    <t>Gas Hidrogen 0,3M3, UHP GRMR</t>
  </si>
  <si>
    <t>GS-02-00-H20-003-UHP</t>
  </si>
  <si>
    <t>Gas Hidrogen 0,5M3, UHP GRMR</t>
  </si>
  <si>
    <t>GS-02-00-H20-005-UHP</t>
  </si>
  <si>
    <t>Gas Hidrogen 1M3, UHP GRMR</t>
  </si>
  <si>
    <t>GS-02-00-H20-010-UHP</t>
  </si>
  <si>
    <t>Gas Hidrogen 2M3, UHP GRMR</t>
  </si>
  <si>
    <t>GS-02-00-H20-020-UHP</t>
  </si>
  <si>
    <t>Gas Hidrogen 6M3 UHP GRMR</t>
  </si>
  <si>
    <t>GS-02-00-H20-060-UHP</t>
  </si>
  <si>
    <t>Gas Hidrogen 7M3 UHP GRMR</t>
  </si>
  <si>
    <t>GS-02-00-H20-070-UHP</t>
  </si>
  <si>
    <t>Gas Hidrogen 10M3 UHP (50L - 200Bar) GRMR</t>
  </si>
  <si>
    <t>GS-02-00-H20-050-UHP</t>
  </si>
  <si>
    <t>Gas Hidrogen 10M3 UHP (68L - 150Bar) GRMR</t>
  </si>
  <si>
    <t>GS-02-00-H20-068-UHP</t>
  </si>
  <si>
    <t>Gas Nitrogen MR 0.25 M3 GRMR</t>
  </si>
  <si>
    <t>GS-04-MR-N20-003-WG0</t>
  </si>
  <si>
    <t>Gas Nitrogen MR 0.5 M3 GRMR</t>
  </si>
  <si>
    <t>GS-04-MR-N20-005-WG0</t>
  </si>
  <si>
    <t>Gas Nitrogen MR 1 M3 GRMR</t>
  </si>
  <si>
    <t>GS-04-MR-N20-010-WG0</t>
  </si>
  <si>
    <t>Gas Nitrogen MR 1.5 M3 GRMR</t>
  </si>
  <si>
    <t>GS-04-MR-N20-015-WG0</t>
  </si>
  <si>
    <t>Gas Nitrogen MR 10 M3 - 150 bar GRMR</t>
  </si>
  <si>
    <t>GS-04-MR-N20-020-WG0</t>
  </si>
  <si>
    <t>Gas Nitrogen MR 2 M3 GRMR</t>
  </si>
  <si>
    <t>GS-04-MR-N20-030-WG0</t>
  </si>
  <si>
    <t>Gas Nitrogen MR 3 M3 GRMR</t>
  </si>
  <si>
    <t>GS-04-MR-N20-060-WG0</t>
  </si>
  <si>
    <t>Gas Nitrogen MR 6 M3 GRMR</t>
  </si>
  <si>
    <t>GS-04-MR-N20-070-WG0</t>
  </si>
  <si>
    <t>Gas Nitrogen MR 7 M3 GRMR</t>
  </si>
  <si>
    <t>GS-04-MR-N20-075-WG0</t>
  </si>
  <si>
    <t>Gas Nitrogen MR 7.5 M3 GRMR</t>
  </si>
  <si>
    <t>GS-04-MR-N20-100-WG0</t>
  </si>
  <si>
    <t>Gas Nitrogen UHP MR 6 M3 GRMR</t>
  </si>
  <si>
    <t>GS-04-MR-N2U-060-UHP</t>
  </si>
  <si>
    <t>Gas Oksigen MR 0.5 M3 GRMR</t>
  </si>
  <si>
    <t>GS-04-MR-O20-005-000</t>
  </si>
  <si>
    <t>Gas Oksigen MR 1 M3 GRMR</t>
  </si>
  <si>
    <t>GS-04-MR-O20-010-000</t>
  </si>
  <si>
    <t>Gas Oksigen MR 1.5 M3 GRMR</t>
  </si>
  <si>
    <t>GS-04-MR-O20-115-000</t>
  </si>
  <si>
    <t>Gas Oksigen MR 2 M3 GRMR</t>
  </si>
  <si>
    <t>GS-04-MR-O20-020-000</t>
  </si>
  <si>
    <t>Gas Oksigen MR 3 M3 GRMR</t>
  </si>
  <si>
    <t>GS-04-MR-O20-030-000</t>
  </si>
  <si>
    <t>Gas Oksigen MR 6 m3 GRMR</t>
  </si>
  <si>
    <t>GS-04-MR-O20-060-000</t>
  </si>
  <si>
    <t>Gas Oksigen MR 7.5 m3 GRMR</t>
  </si>
  <si>
    <t>GS-04-MR-O20-070-000</t>
  </si>
  <si>
    <t>Gas Oksigen MR 10 M3 GRMR</t>
  </si>
  <si>
    <t>GS-04-MR-O20-100-000</t>
  </si>
  <si>
    <t>Gas Oksigen MR 7m3 UHP GRMR</t>
  </si>
  <si>
    <t>GS-04-MR-O20-070-UHP</t>
  </si>
  <si>
    <t>Gas Oksigen MR 7m3 WG GRMR</t>
  </si>
  <si>
    <t>GS-04-MR-O20-070-WG0</t>
  </si>
  <si>
    <t>Gas Oksigen UHP MR 6 M3 GRMR</t>
  </si>
  <si>
    <t>GS-04-MR-O20-060-UHP</t>
  </si>
  <si>
    <t>Gas Nitrogen MR 0.25 M3 GRMP</t>
  </si>
  <si>
    <t>GS-03-MR-N20-003-WG0</t>
  </si>
  <si>
    <t>Gas Nitrogen MR 0.5 M3 GRMP</t>
  </si>
  <si>
    <t>GS-03-MR-N20-005-WG0</t>
  </si>
  <si>
    <t>Gas Nitrogen MR 1 M3 GRMP</t>
  </si>
  <si>
    <t>GS-03-MR-N20-010-WG0</t>
  </si>
  <si>
    <t>Gas Nitrogen MR 1.5 M3 GRMP</t>
  </si>
  <si>
    <t>GS-03-MR-N20-015-WG0</t>
  </si>
  <si>
    <t>Gas Nitrogen MR 10 M3 - 150 bar GRMP</t>
  </si>
  <si>
    <t>GS-03-MR-N20-020-WG0</t>
  </si>
  <si>
    <t>Gas Nitrogen MR 2 M3 GRMP</t>
  </si>
  <si>
    <t>GS-03-MR-N20-030-WG0</t>
  </si>
  <si>
    <t>Gas Nitrogen MR 3 M3 GRMP</t>
  </si>
  <si>
    <t>GS-03-MR-N20-060-WG0</t>
  </si>
  <si>
    <t>Gas Nitrogen MR 6 M3 GRMP</t>
  </si>
  <si>
    <t>GS-03-MR-N20-070-WG0</t>
  </si>
  <si>
    <t>Gas Nitrogen MR 7 M3 GRMP</t>
  </si>
  <si>
    <t>GS-03-MR-N20-075-WG0</t>
  </si>
  <si>
    <t>Gas Nitrogen MR 7.5 M3 GRMP</t>
  </si>
  <si>
    <t>GS-03-MR-N20-100-WG0</t>
  </si>
  <si>
    <t>Gas Nitrogen UHP MR 6 M3 GRMP</t>
  </si>
  <si>
    <t>GS-03-MR-N2U-060-UHP</t>
  </si>
  <si>
    <t>Gas Oksigen MR 0.5 M3 GRMP</t>
  </si>
  <si>
    <t>GS-03-MR-O20-005-000</t>
  </si>
  <si>
    <t>Gas Oksigen MR 1 M3 GRMP</t>
  </si>
  <si>
    <t>GS-03-MR-O20-010-000</t>
  </si>
  <si>
    <t>Gas Oksigen MR 1.5 M3 GRMP</t>
  </si>
  <si>
    <t>GS-03-MR-O20-115-000</t>
  </si>
  <si>
    <t>Gas Oksigen MR 2 M3 GRMP</t>
  </si>
  <si>
    <t>GS-03-MR-O20-020-000</t>
  </si>
  <si>
    <t>Gas Oksigen MR 3 M3 GRMP</t>
  </si>
  <si>
    <t>GS-03-MR-O20-030-000</t>
  </si>
  <si>
    <t>Gas Oksigen MR 6 m3 GRMP</t>
  </si>
  <si>
    <t>GS-03-MR-O20-060-000</t>
  </si>
  <si>
    <t>Gas Oksigen MR 7.5 m3 GRMP</t>
  </si>
  <si>
    <t>GS-03-MR-O20-070-000</t>
  </si>
  <si>
    <t>Gas Oksigen MR 10 M3 GRMP</t>
  </si>
  <si>
    <t>GS-03-MR-O20-100-000</t>
  </si>
  <si>
    <t>Gas Oksigen MR 7m3 UHP GRMP</t>
  </si>
  <si>
    <t>GS-03-MR-O20-070-UHP</t>
  </si>
  <si>
    <t>Gas Oksigen MR 7m3 WG GRMP</t>
  </si>
  <si>
    <t>GS-03-MR-O20-070-WG0</t>
  </si>
  <si>
    <t>Gas Oksigen UHP MR 6 M3 GRMP</t>
  </si>
  <si>
    <t>GS-03-MR-O20-060-UHP</t>
  </si>
  <si>
    <t>Gas Nitrogen MR 0.25 M3 GPMP</t>
  </si>
  <si>
    <t>GS-05-MR-N20-003-WG0</t>
  </si>
  <si>
    <t>Gas Nitrogen MR 0.5 M3 GPMP</t>
  </si>
  <si>
    <t>GS-05-MR-N20-005-WG0</t>
  </si>
  <si>
    <t>Gas Nitrogen MR 1 M3 GPMP</t>
  </si>
  <si>
    <t>GS-05-MR-N20-010-WG0</t>
  </si>
  <si>
    <t>Gas Nitrogen MR 1.5 M3 GPMP</t>
  </si>
  <si>
    <t>GS-05-MR-N20-015-WG0</t>
  </si>
  <si>
    <t>Gas Nitrogen MR 10 M3 - 150 bar GPMP</t>
  </si>
  <si>
    <t>GS-05-MR-N20-020-WG0</t>
  </si>
  <si>
    <t>Gas Nitrogen MR 2 M3 GPMP</t>
  </si>
  <si>
    <t>GS-05-MR-N20-030-WG0</t>
  </si>
  <si>
    <t>Gas Nitrogen MR 3 M3 GPMP</t>
  </si>
  <si>
    <t>GS-05-MR-N20-060-WG0</t>
  </si>
  <si>
    <t>Gas Nitrogen MR 6 M3 GPMP</t>
  </si>
  <si>
    <t>GS-05-MR-N20-070-WG0</t>
  </si>
  <si>
    <t>Gas Nitrogen MR 7 M3 GPMP</t>
  </si>
  <si>
    <t>GS-05-MR-N20-075-WG0</t>
  </si>
  <si>
    <t>Gas Nitrogen MR 7.5 M3 GPMP</t>
  </si>
  <si>
    <t>GS-05-MR-N20-100-WG0</t>
  </si>
  <si>
    <t>Gas Nitrogen UHP MR 6 M3 GPMP</t>
  </si>
  <si>
    <t>GS-05-MR-N2U-060-UHP</t>
  </si>
  <si>
    <t>Gas Oksigen MR 0.5 M3 GPMP</t>
  </si>
  <si>
    <t>GS-05-MR-O20-005-000</t>
  </si>
  <si>
    <t>Gas Oksigen MR 1 M3 GPMP</t>
  </si>
  <si>
    <t>GS-05-MR-O20-010-000</t>
  </si>
  <si>
    <t>Gas Oksigen MR 1.5 M3 GPMP</t>
  </si>
  <si>
    <t>GS-05-MR-O20-115-000</t>
  </si>
  <si>
    <t>Gas Oksigen MR 2 M3 GPMP</t>
  </si>
  <si>
    <t>GS-05-MR-O20-020-000</t>
  </si>
  <si>
    <t>Gas Oksigen MR 3 M3 GPMP</t>
  </si>
  <si>
    <t>GS-05-MR-O20-030-000</t>
  </si>
  <si>
    <t>Gas Oksigen MR 6 m3 GPMP</t>
  </si>
  <si>
    <t>GS-05-MR-O20-060-000</t>
  </si>
  <si>
    <t>Gas Oksigen MR 7.5 m3 GPMP</t>
  </si>
  <si>
    <t>GS-05-MR-O20-070-000</t>
  </si>
  <si>
    <t>Gas Oksigen MR 10 M3 GPMP</t>
  </si>
  <si>
    <t>GS-05-MR-O20-100-000</t>
  </si>
  <si>
    <t>Gas Oksigen MR 7m3 UHP GPMP</t>
  </si>
  <si>
    <t>GS-05-MR-O20-070-UHP</t>
  </si>
  <si>
    <t>Gas Oksigen MR 7m3 WG GPMP</t>
  </si>
  <si>
    <t>GS-05-MR-O20-070-WG0</t>
  </si>
  <si>
    <t>Gas Oksigen UHP MR 6 M3 GPMP</t>
  </si>
  <si>
    <t>GS-05-MR-O20-060-UHP</t>
  </si>
  <si>
    <t>Gas Nitrogen MR 0.25 M3 GPMR</t>
  </si>
  <si>
    <t>GS-06-MR-N20-003-WG0</t>
  </si>
  <si>
    <t>Gas Nitrogen MR 0.5 M3 GPMR</t>
  </si>
  <si>
    <t>GS-06-MR-N20-005-WG0</t>
  </si>
  <si>
    <t>Gas Nitrogen MR 1 M3 GPMR</t>
  </si>
  <si>
    <t>GS-06-MR-N20-010-WG0</t>
  </si>
  <si>
    <t>Gas Nitrogen MR 1.5 M3 GPMR</t>
  </si>
  <si>
    <t>GS-06-MR-N20-015-WG0</t>
  </si>
  <si>
    <t>Gas Nitrogen MR 10 M3 - 150 bar GPMR</t>
  </si>
  <si>
    <t>GS-06-MR-N20-020-WG0</t>
  </si>
  <si>
    <t>Gas Nitrogen MR 2 M3 GPMR</t>
  </si>
  <si>
    <t>GS-06-MR-N20-030-WG0</t>
  </si>
  <si>
    <t>Gas Nitrogen MR 3 M3 GPMR</t>
  </si>
  <si>
    <t>GS-06-MR-N20-060-WG0</t>
  </si>
  <si>
    <t>Gas Nitrogen MR 6 M3 GPMR</t>
  </si>
  <si>
    <t>GS-06-MR-N20-070-WG0</t>
  </si>
  <si>
    <t>Gas Nitrogen MR 7 M3 GPMR</t>
  </si>
  <si>
    <t>GS-06-MR-N20-075-WG0</t>
  </si>
  <si>
    <t>Gas Nitrogen MR 7.5 M3 GPMR</t>
  </si>
  <si>
    <t>GS-06-MR-N20-100-WG0</t>
  </si>
  <si>
    <t>Gas Nitrogen UHP MR 6 M3 GPMR</t>
  </si>
  <si>
    <t>GS-06-MR-N2U-060-UHP</t>
  </si>
  <si>
    <t>Gas Oksigen MR 0.5 M3 GPMR</t>
  </si>
  <si>
    <t>GS-06-MR-O20-005-000</t>
  </si>
  <si>
    <t>Gas Oksigen MR 1 M3 GPMR</t>
  </si>
  <si>
    <t>GS-06-MR-O20-010-000</t>
  </si>
  <si>
    <t>Gas Oksigen MR 1.5 M3 GPMR</t>
  </si>
  <si>
    <t>GS-06-MR-O20-115-000</t>
  </si>
  <si>
    <t>Gas Oksigen MR 2 M3 GPMR</t>
  </si>
  <si>
    <t>GS-06-MR-O20-020-000</t>
  </si>
  <si>
    <t>Gas Oksigen MR 3 M3 GPMR</t>
  </si>
  <si>
    <t>GS-06-MR-O20-030-000</t>
  </si>
  <si>
    <t>Gas Oksigen MR 6 m3 GPMR</t>
  </si>
  <si>
    <t>GS-06-MR-O20-060-000</t>
  </si>
  <si>
    <t>Gas Oksigen MR 7.5 m3 GPMR</t>
  </si>
  <si>
    <t>GS-06-MR-O20-070-000</t>
  </si>
  <si>
    <t>Gas Oksigen MR 10 M3 GPMR</t>
  </si>
  <si>
    <t>GS-06-MR-O20-100-000</t>
  </si>
  <si>
    <t>Gas Oksigen MR 7m3 UHP GPMR</t>
  </si>
  <si>
    <t>GS-06-MR-O20-070-UHP</t>
  </si>
  <si>
    <t>Gas Oksigen MR 7m3 WG GPMR</t>
  </si>
  <si>
    <t>GS-06-MR-O20-070-WG0</t>
  </si>
  <si>
    <t>Gas Oksigen UHP MR 6 M3 GPMR</t>
  </si>
  <si>
    <t>GS-06-MR-O20-060-UHP</t>
  </si>
  <si>
    <t>Tabung Gas  Baru Vol.0,3 M3 PA Putih QF -2G1 SV O2 GP</t>
  </si>
  <si>
    <t>TR-01-TB-2GS-O20-000</t>
  </si>
  <si>
    <t>Tabung Gas Baru 6 M3 UC Biru QF-2G1 O2 UHP Import GP</t>
  </si>
  <si>
    <t>TR-01-TB-2G1-O20-UHI</t>
  </si>
  <si>
    <t>Tabung Gas Baru 6 M3 UC Biru QF-2G1 O2 UHP Lokal GP</t>
  </si>
  <si>
    <t>TR-01-TB-2G1-O20-UHL</t>
  </si>
  <si>
    <t>Tabung Gas Baru Vol.0,3 M3 PA Putih QF -2G1 O2 GP</t>
  </si>
  <si>
    <t>TR-01-TB-2GS-003-O20</t>
  </si>
  <si>
    <t>Tabung Gas Baru Vol.0,5 M3 PA PutIh QF 2G1 O2 GP</t>
  </si>
  <si>
    <t>TR-01-TB-2G1-005-O20</t>
  </si>
  <si>
    <t>Tabung Gas Baru Vol.0,5 M3 PA PutIh QF 2G1 SV O2 GP</t>
  </si>
  <si>
    <t>TR-01-TB-2GS-005-O20</t>
  </si>
  <si>
    <t>Tabung Gas Baru Vol.1 M3 PA Putih QF-2G1 N2 WG GP</t>
  </si>
  <si>
    <t>TR-01-TB-2G1-010-N2W</t>
  </si>
  <si>
    <t>Tabung Gas Baru Vol.1 M3 PA Putih QF-2G1 O2 GP</t>
  </si>
  <si>
    <t>TR-01-TB-2G1-010-O20</t>
  </si>
  <si>
    <t>Tabung Gas Baru Vol.1 M3 PA Putih QF-2G1 SV N2 WG GP</t>
  </si>
  <si>
    <t>TR-01-TB-2GS-010-N2W</t>
  </si>
  <si>
    <t>Tabung Gas Baru Vol.1 M3 PA Putih QF-2G1 SV O2 GP</t>
  </si>
  <si>
    <t>TR-01-TB-2GS-010-O20</t>
  </si>
  <si>
    <t>Tabung Gas Baru Vol.1,5 M3 PA Putih QF 2G1 N2 UHP GP</t>
  </si>
  <si>
    <t>TR-01-TB-2G1-015-N2U</t>
  </si>
  <si>
    <t>Tabung Gas Baru Vol.1,5 M3 PA Putih QF-2G1 N2 WG GP</t>
  </si>
  <si>
    <t>TR-01-TB-2G1-015-N2W</t>
  </si>
  <si>
    <t>Tabung Gas Baru Vol.1,5 M3 PA Putih QF-2G1 O2 GP</t>
  </si>
  <si>
    <t>TR-01-TB-2G1-015-O20</t>
  </si>
  <si>
    <t>Tabung Gas Baru Vol.1,5 M3 PA Putih QF-2G1 SV N2 Wg GP</t>
  </si>
  <si>
    <t>TR-01-TB-2GS-015-N2W</t>
  </si>
  <si>
    <t>Tabung Gas Baru Vol.3 M3 - Putih QF-2G1 N2 WG GP</t>
  </si>
  <si>
    <t>TR-01-TB-2G1-PA3-N20</t>
  </si>
  <si>
    <t>Tabung Gas Baru Vol.6 M3 JP - Biru QF-2G1 N2 WG GP</t>
  </si>
  <si>
    <t>TR-01-TB-2G1-JP6-N20</t>
  </si>
  <si>
    <t>Tabung Gas Baru Vol.1,5 M3 PA Putih QF-2G1 SV O2 GP</t>
  </si>
  <si>
    <t>TR-01-TB-2GS-015-O20</t>
  </si>
  <si>
    <t>Tabung Gas Baru Vol.10 M3 50L UC Cream QF-2G1 O2 GP</t>
  </si>
  <si>
    <t>TR-01-TB-2G1-UC5-O20</t>
  </si>
  <si>
    <t>Tabung Gas Baru Vol.10 m3 50L-200Bar JP Biru QF-6B N2 WG GP</t>
  </si>
  <si>
    <t>TR-01-TB-F6B-JB5-N2W</t>
  </si>
  <si>
    <t>Tabung Gas Baru Vol.10 m3 50L-200Bar JP Biru QF-6B O2 GP</t>
  </si>
  <si>
    <t>TR-01-TB-F6B-JB5-O20</t>
  </si>
  <si>
    <t>Tabung Gas Baru Vol.10 M3 68L UC Merah QF 2G1 N2 WG GP</t>
  </si>
  <si>
    <t>TR-01-TB-2G1-UM6-N2W</t>
  </si>
  <si>
    <t>Tabung Gas Baru Vol.10 M3 68L UC Merah QF 2G1 O2 GP</t>
  </si>
  <si>
    <t>TR-01-TB-2G1-UM6-O26</t>
  </si>
  <si>
    <t>Tabung Gas Baru Vol.10 m3 JP O2 GP</t>
  </si>
  <si>
    <t>TR-01-TB-TK0-JP0-O20</t>
  </si>
  <si>
    <t>Tabung Gas Baru Vol.2 M3 PA Biru QF-2G1 N2 WG GP</t>
  </si>
  <si>
    <t>TR-01-TB-2G1-PB2-N2W</t>
  </si>
  <si>
    <t>Tabung Gas Baru Vol.2 M3 PA Biru QF-2G1 O2 GP</t>
  </si>
  <si>
    <t>TR-01-TB-2G1-PB2-O20</t>
  </si>
  <si>
    <t>Tabung Gas Baru Vol.2 M3 PA Putih QF-2G1 SV N2 UHP GP</t>
  </si>
  <si>
    <t>TR-01-TB-2GS-PP2-N2U</t>
  </si>
  <si>
    <t>Tabung Gas Baru Vol.2 M3 PA Putih QF-2G1 SV N2 WG GP</t>
  </si>
  <si>
    <t>TR-01-TB-2GS-PP2-N2W</t>
  </si>
  <si>
    <t>Tabung Gas Baru Vol.2 M3 PA Putih QF-2G1 SV O2 GP</t>
  </si>
  <si>
    <t>TR-01-TB-2GS-PP2-O20</t>
  </si>
  <si>
    <t>Tabung Gas Baru Vol.3 M3 - Putih QF 2G1 SV N2 WG GP</t>
  </si>
  <si>
    <t>TR-01-TB-2GS-000-N2W</t>
  </si>
  <si>
    <t>Tabung Gas Baru Vol.3 M3 - Putih QF-2G1 SV O2 GP</t>
  </si>
  <si>
    <t>TR-01-TB-2GS-000-O20</t>
  </si>
  <si>
    <t>Tabung Gas Baru Vol.3 M3 O2 GP</t>
  </si>
  <si>
    <t>TR-01-TB-000-O20-000</t>
  </si>
  <si>
    <t>Tabung Gas Baru Vol.6 m3 - Biru QF-2G1 O2 UHP GP</t>
  </si>
  <si>
    <t>TR-01-TB-2G1-BR6-O2U</t>
  </si>
  <si>
    <t>Tabung Gas Baru Vol.6 M3 JP - Biru QF-2G1 O2 GP</t>
  </si>
  <si>
    <t>TR-01-TB-2G1-JB6-O20</t>
  </si>
  <si>
    <t>Tabung Gas Baru Vol.6 M3 JP - Putih QF-2G1 O2 GP</t>
  </si>
  <si>
    <t>TR-01-TB-2G1-JP6-O20</t>
  </si>
  <si>
    <t>Tabung Gas Baru Vol.6 m3 UC - Biru QF 6B N2 WG GP</t>
  </si>
  <si>
    <t>TR-01-TB-F6B-UB6-N2W</t>
  </si>
  <si>
    <t>Tabung Gas Baru Vol.6 m3 UC - Biru QF 6B O2 GP</t>
  </si>
  <si>
    <t>TR-01-TB-F6B-UB6-O20</t>
  </si>
  <si>
    <t>Tabung Gas Baru Vol.6 m3 UC - Biru QF-2A6 N2O 15 kg GP</t>
  </si>
  <si>
    <t>TR-01-TB-2A6-UB6-N21</t>
  </si>
  <si>
    <t>Tabung Gas Baru Vol.6 m3 UC - Biru QF-2A6 N2O 20 kg KS GP</t>
  </si>
  <si>
    <t>TR-01-TB-2A6-UB6-N22</t>
  </si>
  <si>
    <t>Tabung Gas Baru Vol.6 m3 UC - Biru QF-2G1 N2 HP GP</t>
  </si>
  <si>
    <t>TR-01-TB-2G1-UB6-N2H</t>
  </si>
  <si>
    <t>Tabung Gas Baru Vol.6 m3 UC - Biru QF-2G1 N2 WG GP</t>
  </si>
  <si>
    <t>TR-01-TB-2G1-UB6-N2W</t>
  </si>
  <si>
    <t>Tabung Gas Baru Vol.6 m3 UC - Biru QF-2G1 O2 GP</t>
  </si>
  <si>
    <t>TR-01-TB-2G1-UB6-O20</t>
  </si>
  <si>
    <t>Tabung Gas Baru Vol.6 M3 UC - Biru QF-2G1 O2 HP GP</t>
  </si>
  <si>
    <t>TR-01-TB-2G1-UB6-O2H</t>
  </si>
  <si>
    <t>Tabung Gas Baru Vol.6 m3 UC - Biru QF-2G1 SV N2 Hp GP</t>
  </si>
  <si>
    <t>TR-01-TB-2GS-UB6-N2H</t>
  </si>
  <si>
    <t>Tabung Gas Baru Vol.6 m3 UC - Biru QF-2G1 SV N2 Wg GP</t>
  </si>
  <si>
    <t>TR-01-TB-2GS-UB6-N2W</t>
  </si>
  <si>
    <t>Tabung Gas Baru Vol.6 m3 UC - Biru QF-2G1 SV O2 GP</t>
  </si>
  <si>
    <t>TR-01-TB-2GS-UB6-O20</t>
  </si>
  <si>
    <t>Tabung Gas Baru Vol.6 m3 UC - Merah QF-2G1 O2 GP</t>
  </si>
  <si>
    <t>TR-01-TB-2G1-UM6-O20</t>
  </si>
  <si>
    <t>Tabung Gas Baru Vol.6 m3 UC - Putih QF-2G1 N2 WG GP</t>
  </si>
  <si>
    <t>TR-01-TB-2G1-UP6-N2W</t>
  </si>
  <si>
    <t>Tabung Gas Baru Vol.6 m3 UC - Putih QF-2G1 O2 GP</t>
  </si>
  <si>
    <t>TR-01-TB-2G1-UP6-O20</t>
  </si>
  <si>
    <t>Tabung Gas Baru Vol.6 m3 UC - Putih QF-2G1 SV N2 WG GP</t>
  </si>
  <si>
    <t>TR-01-TB-2GS-UP6-N2W</t>
  </si>
  <si>
    <t>Tabung Gas Baru Vol.6 m3 UC - Putih QF-2G1 SV O2 GP</t>
  </si>
  <si>
    <t>TR-01-TB-2GS-UP6-O20</t>
  </si>
  <si>
    <t>Tabung gas baru Vol.6 m3 UC-Putih QF-2G1 N2 UHP GP</t>
  </si>
  <si>
    <t>TR-01-TB-2G1-UP6-N2U</t>
  </si>
  <si>
    <t>Tabung Gas Baru Vol.6 m3 YA - Biru QF-2G1 O2 GP</t>
  </si>
  <si>
    <t>TR-01-TB-2G1-YB6-O20</t>
  </si>
  <si>
    <t>Tabung Gas Baru Vol.6 m3 YA - Putih QF-2G1 O2 GP</t>
  </si>
  <si>
    <t>TR-01-TB-2G1-YP6-O20</t>
  </si>
  <si>
    <t>Tabung Gas Baru Vol.7 M3 JP Biru QF-2G1 N2 WG GP</t>
  </si>
  <si>
    <t>TR-01-TB-2G1-JB7-N2W</t>
  </si>
  <si>
    <t>Tabung Gas Baru Vol.7 M3 JP Biru QF-2G1 O2 GP</t>
  </si>
  <si>
    <t>TR-01-TB-2G1-JB7-O20</t>
  </si>
  <si>
    <t>Tabung Gas  Baru Vol.0,3 M3 PA Putih QF -2G1 SV O2 GR</t>
  </si>
  <si>
    <t>TR-03-TB-2GS-O20-000</t>
  </si>
  <si>
    <t>Tabung Gas Baru 6 M3 UC Biru QF-2G1 O2 UHP Import GR</t>
  </si>
  <si>
    <t>TR-03-TB-2G1-O20-UHI</t>
  </si>
  <si>
    <t>Tabung Gas Baru 6 M3 UC Biru QF-2G1 O2 UHP Lokal GR</t>
  </si>
  <si>
    <t>TR-03-TB-2G1-O20-UHL</t>
  </si>
  <si>
    <t>Tabung Gas Baru Vol.0,3 M3 PA Putih QF -2G1 O2 GR</t>
  </si>
  <si>
    <t>TR-03-TB-2GS-003-O20</t>
  </si>
  <si>
    <t>Tabung Gas Baru Vol.0,5 M3 PA PutIh QF 2G1 O2 GR</t>
  </si>
  <si>
    <t>TR-03-TB-2GS-005-O20</t>
  </si>
  <si>
    <t>Tabung Gas Baru Vol.0,5 M3 PA PutIh QF 2G1 SV O2 GR</t>
  </si>
  <si>
    <t>TR-04-TB-2GS-005-O20</t>
  </si>
  <si>
    <t>Tabung Gas Baru Vol.1 M3 PA Putih QF-2G1 N2 WG GR</t>
  </si>
  <si>
    <t>TR-03-TB-2G1-010-N2W</t>
  </si>
  <si>
    <t>Tabung Gas Baru Vol.1 M3 PA Putih QF-2G1 O2 GR</t>
  </si>
  <si>
    <t>TR-03-TB-2G1-010-O20</t>
  </si>
  <si>
    <t>Tabung Gas Baru Vol.1 M3 PA Putih QF-2G1 SV N2 WG GR</t>
  </si>
  <si>
    <t>TR-03-TB-2GS-010-N2W</t>
  </si>
  <si>
    <t>Tabung Gas Baru Vol.1 M3 PA Putih QF-2G1 SV O2 GR</t>
  </si>
  <si>
    <t>TR-03-TB-2GS-010-O20</t>
  </si>
  <si>
    <t>Tabung Gas Baru Vol.1,5 M3 PA Putih QF 2G1 N2 UHP GR</t>
  </si>
  <si>
    <t>TR-03-TB-2G1-015-N2U</t>
  </si>
  <si>
    <t>Tabung Gas Baru Vol.1,5 M3 PA Putih QF-2G1 N2 WG GR</t>
  </si>
  <si>
    <t>TR-03-TB-2G1-015-N2W</t>
  </si>
  <si>
    <t>Tabung Gas Baru Vol.3 M3 - Putih QF-2G1 N2 WG GR</t>
  </si>
  <si>
    <t>TR-03-TB-2G1-PA3-N20</t>
  </si>
  <si>
    <t>Tabung Gas Baru Vol.6 M3 JP - Biru QF-2G1 N2 WG GR</t>
  </si>
  <si>
    <t>TR-03-TB-2G1-JP6-N20</t>
  </si>
  <si>
    <t>Tabung Gas Baru Vol.1,5 M3 PA Putih QF-2G1 O2 GR</t>
  </si>
  <si>
    <t>TR-03-TB-2G1-015-O20</t>
  </si>
  <si>
    <t>Tabung Gas Baru Vol.1,5 M3 PA Putih QF-2G1 SV N2 Wg GR</t>
  </si>
  <si>
    <t>TR-03-TB-2GS-015-N2W</t>
  </si>
  <si>
    <t>Tabung Gas Baru Vol.1,5 M3 PA Putih QF-2G1 SV O2 GR</t>
  </si>
  <si>
    <t>TR-03-TB-2GS-015-O20</t>
  </si>
  <si>
    <t>Tabung Gas Baru Vol.10 M3 50L UC Cream QF-2G1 O2 GR</t>
  </si>
  <si>
    <t>TR-03-TB-2G1-UC5-O20</t>
  </si>
  <si>
    <t>Tabung Gas Baru Vol.10 m3 50L-200Bar JP Biru QF-6B N2 WG GR</t>
  </si>
  <si>
    <t>TR-03-TB-F6B-JB5-N2W</t>
  </si>
  <si>
    <t>Tabung Gas Baru Vol.10 m3 50L-200Bar JP Biru QF-6B O2 GR</t>
  </si>
  <si>
    <t>TR-03-TB-F6B-JB5-O20</t>
  </si>
  <si>
    <t>Tabung Gas Baru Vol.10 M3 68L UC Merah QF 2G1 N2 WG GR</t>
  </si>
  <si>
    <t>TR-03-TB-2G1-UM6-N2W</t>
  </si>
  <si>
    <t>Tabung Gas Baru Vol.10 M3 68L UC Merah QF 2G1 O2 GR</t>
  </si>
  <si>
    <t>TR-03-TB-2G1-UM6-O26</t>
  </si>
  <si>
    <t>Tabung Gas Baru Vol.10 m3 JP O2 GR</t>
  </si>
  <si>
    <t>TR-03-TB-TK0-JP0-O20</t>
  </si>
  <si>
    <t>Tabung Gas Baru Vol.2 M3 PA Biru QF-2G1 N2 WG GR</t>
  </si>
  <si>
    <t>TR-03-TB-2G1-PB2-N2W</t>
  </si>
  <si>
    <t>Tabung Gas Baru Vol.2 M3 PA Biru QF-2G1 O2 GR</t>
  </si>
  <si>
    <t>TR-03-TB-2G1-PB2-O20</t>
  </si>
  <si>
    <t>Tabung Gas Baru Vol.2 M3 PA Putih QF-2G1 SV N2 UHP GR</t>
  </si>
  <si>
    <t>TR-03-TB-2GS-PP2-N2U</t>
  </si>
  <si>
    <t>Tabung Gas Baru Vol.2 M3 PA Putih QF-2G1 SV N2 WG GR</t>
  </si>
  <si>
    <t>TR-03-TB-2GS-PP2-N2W</t>
  </si>
  <si>
    <t>Tabung Gas Baru Vol.2 M3 PA Putih QF-2G1 SV O2 GR</t>
  </si>
  <si>
    <t>TR-03-TB-2GS-PP2-O20</t>
  </si>
  <si>
    <t>Tabung Gas Baru Vol.3 M3 - Putih QF 2G1 SV N2 WG GR</t>
  </si>
  <si>
    <t>TR-03-TB-2GS-000-N2W</t>
  </si>
  <si>
    <t>Tabung Gas Baru Vol.3 M3 - Putih QF-2G1 SV O2 GR</t>
  </si>
  <si>
    <t>TR-03-TB-2GS-000-O20</t>
  </si>
  <si>
    <t>Tabung Gas Baru Vol.3 M3 O2 GR</t>
  </si>
  <si>
    <t>TR-03-TB-000-O20-000</t>
  </si>
  <si>
    <t>Tabung Gas Baru Vol.6 m3 - Biru QF-2G1 O2 UHP GR</t>
  </si>
  <si>
    <t>TR-03-TB-2G1-BR6-O2U</t>
  </si>
  <si>
    <t>Tabung Gas Baru Vol.6 M3 JP - Biru QF-2G1 O2 GR</t>
  </si>
  <si>
    <t>TR-03-TB-2G1-JB6-O20</t>
  </si>
  <si>
    <t>Tabung Gas Baru Vol.6 M3 JP - Putih QF-2G1 O2 GR</t>
  </si>
  <si>
    <t>TR-03-TB-2G1-JP6-O20</t>
  </si>
  <si>
    <t>Tabung Gas Baru Vol.6 m3 UC - Biru QF 6B N2 WG GR</t>
  </si>
  <si>
    <t>TR-03-TB-F6B-UB6-N2W</t>
  </si>
  <si>
    <t>Tabung Gas Baru Vol.6 m3 UC - Biru QF 6B O2 GR</t>
  </si>
  <si>
    <t>TR-03-TB-F6B-UB6-O20</t>
  </si>
  <si>
    <t>Tabung Gas Baru Vol.6 m3 UC - Biru QF-2A6 N2O 15 kg GR</t>
  </si>
  <si>
    <t>TR-03-TB-2A6-UB6-N21</t>
  </si>
  <si>
    <t>Tabung Gas Baru Vol.6 m3 UC - Biru QF-2A6 N2O 20 kg KS GR</t>
  </si>
  <si>
    <t>TR-03-TB-2A6-UB6-N22</t>
  </si>
  <si>
    <t>Tabung Gas Baru Vol.6 m3 UC - Biru QF-2G1 N2 HP GR</t>
  </si>
  <si>
    <t>TR-03-TB-2G1-UB6-N2H</t>
  </si>
  <si>
    <t>Tabung Gas Baru Vol.6 m3 UC - Biru QF-2G1 N2 WG GR</t>
  </si>
  <si>
    <t>TR-03-TB-2G1-UB6-N2W</t>
  </si>
  <si>
    <t>Tabung Gas Baru Vol.6 m3 UC - Biru QF-2G1 O2 GR</t>
  </si>
  <si>
    <t>TR-03-TB-2G1-UB6-O20</t>
  </si>
  <si>
    <t>Tabung Gas Baru Vol.6 M3 UC - Biru QF-2G1 O2 HP GR</t>
  </si>
  <si>
    <t>TR-03-TB-2G1-UB6-O2H</t>
  </si>
  <si>
    <t>Tabung Gas Baru Vol.6 m3 UC - Biru QF-2G1 SV N2 Hp GR</t>
  </si>
  <si>
    <t>TR-03-TB-2GS-UB6-N2H</t>
  </si>
  <si>
    <t>Tabung Gas Baru Vol.6 m3 UC - Biru QF-2G1 SV N2 Wg GR</t>
  </si>
  <si>
    <t>TR-03-TB-2GS-UB6-N2W</t>
  </si>
  <si>
    <t>Tabung Gas Baru Vol.6 m3 UC - Biru QF-2G1 SV O2 GR</t>
  </si>
  <si>
    <t>TR-03-TB-2GS-UB6-O20</t>
  </si>
  <si>
    <t>Tabung Gas Baru Vol.6 m3 UC - Merah QF-2G1 O2 GR</t>
  </si>
  <si>
    <t>TR-03-TB-2G1-UM6-O20</t>
  </si>
  <si>
    <t>Tabung Gas Baru Vol.6 m3 UC - Putih QF-2G1 N2 WG GR</t>
  </si>
  <si>
    <t>TR-03-TB-2G1-UP6-N2W</t>
  </si>
  <si>
    <t>Tabung Gas Baru Vol.6 m3 UC - Putih QF-2G1 O2 GR</t>
  </si>
  <si>
    <t>TR-03-TB-2G1-UP6-O20</t>
  </si>
  <si>
    <t>Tabung Gas Baru Vol.6 m3 UC - Putih QF-2G1 SV N2 WG GR</t>
  </si>
  <si>
    <t>TR-03-TB-2GS-UP6-N2W</t>
  </si>
  <si>
    <t>Tabung Gas Baru Vol.6 m3 UC - Putih QF-2G1 SV O2 GR</t>
  </si>
  <si>
    <t>TR-03-TB-2GS-UP6-O20</t>
  </si>
  <si>
    <t>Tabung gas baru Vol.6 m3 UC-Putih QF-2G1 N2 UHP GR</t>
  </si>
  <si>
    <t>TR-03-TB-2G1-UP6-N2U</t>
  </si>
  <si>
    <t>Tabung Gas Baru Vol.6 m3 YA - Biru QF-2G1 O2 GR</t>
  </si>
  <si>
    <t>TR-03-TB-2G1-YB6-O20</t>
  </si>
  <si>
    <t>Tabung Gas Baru Vol.6 m3 YA - Putih QF-2G1 O2 GR</t>
  </si>
  <si>
    <t>TR-03-TB-2G1-YP6-O20</t>
  </si>
  <si>
    <t>Tabung Gas Baru Vol.7 M3 JP Biru QF-2G1 N2 WG GR</t>
  </si>
  <si>
    <t>TR-03-TB-2G1-JB7-N2W</t>
  </si>
  <si>
    <t>Tabung Gas Baru Vol.7 M3 JP Biru QF-2G1 O2 GR</t>
  </si>
  <si>
    <t>TR-03-TB-2G1-JB7-O20</t>
  </si>
  <si>
    <t>Tabung Acetylene 40L UC Maroon PF5 - 1 Aceton 12kg UHP</t>
  </si>
  <si>
    <t>TR-00-TA-000-ACT-UHP</t>
  </si>
  <si>
    <t>Tabung Acetylene 40L UC Maroon PF5 - 1 Aceton 4 Kg KS</t>
  </si>
  <si>
    <t>TR-00-TA-000-ACT-KS0</t>
  </si>
  <si>
    <t>Tabung Acetylene 40L UC Maroon PF5 - 1 Aceton 8 Kg WG</t>
  </si>
  <si>
    <t>TR-00-TA-000-ACT-WG0</t>
  </si>
  <si>
    <t>Tabung Acetylene 40L UC Maroon PF5 - 1 Acetylene UHP 2 kg + Aceton 4 Kg</t>
  </si>
  <si>
    <t>TR-00-TA-CY2-CT4-UHP</t>
  </si>
  <si>
    <t>Tabung Acetylene 40L UC Maroon PF5 - 1 Acetylene WG 3 kg + Aceton 6 Kg</t>
  </si>
  <si>
    <t>TR-00-TA-CY3-CT6-UHP</t>
  </si>
  <si>
    <t>Tabung Acetylene 40L UC Maroon PF5 - 1 Acetylene UHP 3kg + Aceton 4kg</t>
  </si>
  <si>
    <t>TR-00-TA-CY3-CT4-UHP</t>
  </si>
  <si>
    <t>Tabung Acetylene 40L UC Maroon PF5 - 1 Acetylene WG 2 kg + Aceton 3 Kg</t>
  </si>
  <si>
    <t>TR-00-TA-CY2-CT3-WG0</t>
  </si>
  <si>
    <t>Tabung Acetylene 40L UC Maroon PF5 - 1 Acetylene WG 2 kg + Aceton 4 Kg</t>
  </si>
  <si>
    <t>TR-00-TA-CY2-CT4-WG0</t>
  </si>
  <si>
    <t>Tabung Acetylene 40L UC Maroon PF5 - 1 Acetylene UHP 3 kg + Aceton 6 Kg</t>
  </si>
  <si>
    <t>TR-00-TA-CY3-CT6-WG0</t>
  </si>
  <si>
    <t>Tabung Acetylene 40L UC Maroon PF5 - 1 Acetylene WG 6 Kg + Aceton 12 Kg</t>
  </si>
  <si>
    <t>TR-00-TA-CY6-C12-WG0</t>
  </si>
  <si>
    <t>Tabung Acetylene 40L UC Maroon PF5 - 1 Isi Acetylene HP 3Kg + Aceton 6 Kg</t>
  </si>
  <si>
    <t>TR-00-TA-CY3-CT6-HP0</t>
  </si>
  <si>
    <t>Tabung Acetylene 40L UC Maroon PF5 - 1 Isi Acetylene HP 4Kg + Aceton 8Kg</t>
  </si>
  <si>
    <t>TR-00-TA-CY3-CT8-HP0</t>
  </si>
  <si>
    <t>Tabung Acetylene 40L UC Maroon PF5 - 1 KS</t>
  </si>
  <si>
    <t>TR-00-TA-000-ACT-000</t>
  </si>
  <si>
    <t>Tabung acetylene 40L UC Maroon PF5-1 UPP 3 kg + Aceton 4 Kg</t>
  </si>
  <si>
    <t>TR-00-TA-UP3-ZFS-000</t>
  </si>
  <si>
    <t>Tabung Gas  Baru Vol.6 m3 UC - Biru QF 2A6 KS</t>
  </si>
  <si>
    <t>TR-00-TB-2A6-KS0-000</t>
  </si>
  <si>
    <t>Tabung Gas  Baru Vol.6 m3 UC - Biru QF 6B Ar UHP</t>
  </si>
  <si>
    <t>TR-00-TB-F6B-AR0-UHP</t>
  </si>
  <si>
    <t>Tabung Gas  Baru Vol.6 m3 UC - Biru QF 6B arHP</t>
  </si>
  <si>
    <t>TR-00-TB-F6B-AR1-HP0</t>
  </si>
  <si>
    <t>Tabung Gas  Baru Vol.6 m3 UC - Biru QF 6B ArWg</t>
  </si>
  <si>
    <t>TR-00-TB-F6B-AR2-WG0</t>
  </si>
  <si>
    <t>Tabung Gas  Baru Vol.6 m3 UC - Biru QF 6B He</t>
  </si>
  <si>
    <t>TR-00-TB-F6B-HE0-000</t>
  </si>
  <si>
    <t>Tabung Gas Baru CO2 2L QF 2A6 SV CO2 1KG FG</t>
  </si>
  <si>
    <t>TR-00-TO-2A6-201-002</t>
  </si>
  <si>
    <t>Tabung Gas Baru CO2 2L PA Abu QF-2A6 SV KS</t>
  </si>
  <si>
    <t>TR-00-TO-2A6-000-000</t>
  </si>
  <si>
    <t>Tabung Gas Baru CO2 7L PA Abu QF-2A6 CO2 4KG FG</t>
  </si>
  <si>
    <t>TR-00-TO-2A6-704-FG0</t>
  </si>
  <si>
    <t>Tabung Gas Baru CO2 7L PA Abu QF-2A6 CO2 5KG FG</t>
  </si>
  <si>
    <t>TR-00-TO-2A6-705-FG0</t>
  </si>
  <si>
    <t>Tabung Gas Baru CO2 7L PA Abu QF-2A6 SV KS</t>
  </si>
  <si>
    <t>TR-00-TO-2AS-700-000</t>
  </si>
  <si>
    <t>Tabung Gas Baru CO2 7L PA Biru QF-2A6 KS</t>
  </si>
  <si>
    <t>TR-00-TO-2A6-700-000</t>
  </si>
  <si>
    <t>Tabung Gas Baru CO2 7L PA Biru QF-2A6 Tutup Besi STD CO2 4KG FG</t>
  </si>
  <si>
    <t>TR-00-TO-2A6-704-CO2</t>
  </si>
  <si>
    <t>Tabung Gas Baru CO2 7L PA Biru QF-2A6 Tutup Besi STD KS</t>
  </si>
  <si>
    <t>TR-00-TO-2A6-700-STD</t>
  </si>
  <si>
    <t>Tabung Gas Baru CO2 7L QF-2A6 CO2 4KG SV</t>
  </si>
  <si>
    <t>TR-00-TO-2AS-704-CO2</t>
  </si>
  <si>
    <t>TR-00-TO-000-000-000</t>
  </si>
  <si>
    <t>Tabung Gas Baru Vol. 1,5 M3 PA Putih Tanpa Kran KS</t>
  </si>
  <si>
    <t>TR-00-TB-TK0-015-TKS</t>
  </si>
  <si>
    <t>Tabung Gas Baru Vol.0,3 M3 PA Putih QF -2G1 KS</t>
  </si>
  <si>
    <t>TR-00-TB-2GS-003-000</t>
  </si>
  <si>
    <t>Tabung Gas Baru Vol.0,5 M3 PA Putih QF 2A6 KS</t>
  </si>
  <si>
    <t>TR-00-TB-2GS-005-000</t>
  </si>
  <si>
    <t>Tabung Gas Baru Vol.0,5 M3 PA Putih Tanpa Kran</t>
  </si>
  <si>
    <t>TR-00-TB-TK0-005-TKS</t>
  </si>
  <si>
    <t>Tabung Gas Baru Vol.1 M3 PA Putih QF 30 H2 UHP</t>
  </si>
  <si>
    <t>TR-00-TB-F30-010-H2U</t>
  </si>
  <si>
    <t>Tabung Gas Baru Vol.1 M3 PA Putih QF-2A6 CO2 4Kg FG</t>
  </si>
  <si>
    <t>TR-00-TB-2A6-010-CO2</t>
  </si>
  <si>
    <t>Tabung Gas Baru Vol.1 M3 PA Putih QF-2A6 KS</t>
  </si>
  <si>
    <t>TR-00-TB-2A6-010-000</t>
  </si>
  <si>
    <t>Tabung Gas Baru Vol.0,5 M3 PA Putih QF 2A6 CO2 2Kg FG</t>
  </si>
  <si>
    <t>TR-00-TB-2A6-005-FG0</t>
  </si>
  <si>
    <t>Tabung Gas Baru Vol.1 M3 PA Putih QF-2A6 N2O</t>
  </si>
  <si>
    <t>TR-00-TB-2A6-010-N2O</t>
  </si>
  <si>
    <t>Tabung Gas Baru Vol.1 M3 PA Putih QF-2G1 Ar HP</t>
  </si>
  <si>
    <t>TR-00-TB-2G1-010-ARH</t>
  </si>
  <si>
    <t>Tabung Gas Baru Vol.1 M3 PA Putih QF-2G1 Ar UHP</t>
  </si>
  <si>
    <t>TR-00-TB-2G1-010-ARU</t>
  </si>
  <si>
    <t>Tabung Gas Baru Vol.1 M3 PA Putih QF-2G1 Ar Wg</t>
  </si>
  <si>
    <t>TR-00-TB-2G1-010-ARW</t>
  </si>
  <si>
    <t>Tabung Gas Baru Vol.1 M3 PA Putih QF-2G1 He</t>
  </si>
  <si>
    <t>TR-00-TB-2G1-010-HE0</t>
  </si>
  <si>
    <t>Tabung Gas Baru Vol.1 M3 PA Putih QF-2G1 KS</t>
  </si>
  <si>
    <t>TR-00-TB-2G1-010-000</t>
  </si>
  <si>
    <t>Tabung Gas Baru Vol.1 M3 PA Putih QF-2G1 SV Ar HP</t>
  </si>
  <si>
    <t>TR-00-TB-2GS-010-ARH</t>
  </si>
  <si>
    <t>Tabung Gas Baru Vol.1 M3 PA Putih QF-2G1 SV Ar UHP</t>
  </si>
  <si>
    <t>TR-00-TB-2GS-010-ARU</t>
  </si>
  <si>
    <t>Tabung Gas Baru Vol.1 M3 PA Putih QF-2G1 SV Ar Wg</t>
  </si>
  <si>
    <t>TR-00-TB-2GS-010-ARW</t>
  </si>
  <si>
    <t>Tabung Gas Baru Vol.1 M3 PA Putih QF-2G1 SV He UHP</t>
  </si>
  <si>
    <t>TR-00-TB-2GS-010-HEU</t>
  </si>
  <si>
    <t>Tabung Gas Baru Vol.1 M3 PA Putih QF-2G1 SV KS</t>
  </si>
  <si>
    <t>TR-00-TB-2GS-010-000</t>
  </si>
  <si>
    <t>Tabung Gas Baru Vol.1 M3 PA Putih QF-2G1 SV UT</t>
  </si>
  <si>
    <t>TR-00-TB-2GS-010-UT0</t>
  </si>
  <si>
    <t>Tabung Gas Baru Vol.1 M3 PA Putih QF-30 H2</t>
  </si>
  <si>
    <t>TR-00-TB-F30-010-H20</t>
  </si>
  <si>
    <t>Tabung Gas Baru Vol.1 M3 PA Putih QF-30 H2 WG</t>
  </si>
  <si>
    <t>TR-00-TB-F30-010-H2W</t>
  </si>
  <si>
    <t>Tabung Gas Baru Vol.1 M3 PA Putih Tanpa Kran</t>
  </si>
  <si>
    <t>TR-00-TB-TK0-010-000</t>
  </si>
  <si>
    <t>Tabung Gas Baru Vol.1,5 M3 PA Putih QF 2A6 CO2 6KG FG</t>
  </si>
  <si>
    <t>TR-00-TB-2A6-156-COF</t>
  </si>
  <si>
    <t>Tabung Gas Baru Vol.1,5 M3 PA Putih QF 2A6 KS</t>
  </si>
  <si>
    <t>TR-00-TB-2A6-015-000</t>
  </si>
  <si>
    <t>Tabung Gas Baru Vol.1,5 M3 PA Putih QF 2G1 He UHP</t>
  </si>
  <si>
    <t>TR-00-TB-2G1-015-HEU</t>
  </si>
  <si>
    <t>Tabung Gas Baru Vol.1,5 M3 PA Putih QF 30 H2 HP</t>
  </si>
  <si>
    <t>TR-00-TB-F30-015-H2P</t>
  </si>
  <si>
    <t>Tabung Gas Baru Vol.1,5 M3 PA Putih QF 30 H2 WG</t>
  </si>
  <si>
    <t>TR-00-TB-F30-015-H21</t>
  </si>
  <si>
    <t>Tabung Gas Baru Vol.1,5 M3 PA Putih QF-2A6 CO2 5 KG FG</t>
  </si>
  <si>
    <t>TR-00-TB-2A6-155-COF</t>
  </si>
  <si>
    <t>Tabung Gas Baru Vol.1,5 M3 PA Putih QF-2A6 CO2 5 KG IG</t>
  </si>
  <si>
    <t>TR-00-TB-2A6-155-CO1</t>
  </si>
  <si>
    <t>Tabung Gas Baru Vol.1,5 M3 PA Putih QF-2A6 N2O</t>
  </si>
  <si>
    <t>TR-00-TB-2A6-015-N2O</t>
  </si>
  <si>
    <t>Tabung Gas Baru Vol.1,5 M3 PA Putih QF-2G1 Ar HP</t>
  </si>
  <si>
    <t>TR-00-TB-2G1-015-ARH</t>
  </si>
  <si>
    <t>Tabung Gas Baru Vol.1,5 M3 PA Putih QF-2G1 Ar UHP</t>
  </si>
  <si>
    <t>TR-00-TB-2G1-015-ARU</t>
  </si>
  <si>
    <t>Tabung Gas Baru Vol.1,5 M3 PA Putih QF-2G1 Ar Wg</t>
  </si>
  <si>
    <t>TR-00-TB-2G1-015-ARQ</t>
  </si>
  <si>
    <t>Tabung Gas Baru Vol.1,5 M3 PA Putih QF-2G1 H2 WG</t>
  </si>
  <si>
    <t>TR-00-TB-2G1-015-H2W</t>
  </si>
  <si>
    <t>Tabung Gas Baru Vol.1,5 M3 PA Putih QF-2G1 KS</t>
  </si>
  <si>
    <t>TR-00-TB-2G1-015-000</t>
  </si>
  <si>
    <t>Tabung Gas Baru Vol.1,5 M3 PA Putih QF-2G1 SV KS</t>
  </si>
  <si>
    <t>TR-00-TB-2GS-015-000</t>
  </si>
  <si>
    <t>Tabung Gas Baru Vol.1,5 M3 PA Putih QF-30</t>
  </si>
  <si>
    <t>TR-00-TB-F30-015-000</t>
  </si>
  <si>
    <t>Tabung Gas Baru Vol.1,5 M3 PA Putih QF-30 H2 WG</t>
  </si>
  <si>
    <t>TR-00-TB-F30-015-H2W</t>
  </si>
  <si>
    <t>Tabung Gas Baru Vol.10 M3 50L UC Biru QF-2G1 KS</t>
  </si>
  <si>
    <t>TR-00-TB-2G1-UB5-000</t>
  </si>
  <si>
    <t>Tabung Gas Baru Vol.10 M3 50L UC Cream QF-2G1</t>
  </si>
  <si>
    <t>TR-00-TB-2G1-UC5-000</t>
  </si>
  <si>
    <t>Tabung Gas Baru Vol.10 M3 50L UC Cream QF-T1 KS</t>
  </si>
  <si>
    <t>TR-00-TB-FT1-UC5-000</t>
  </si>
  <si>
    <t>Tabung Gas Baru Vol.10 M3 50L UC Cream Tanpa Kran</t>
  </si>
  <si>
    <t>TR-00-TB-TK0-UC5-000</t>
  </si>
  <si>
    <t>Tabung Gas Baru Vol.10 M3 50L-200Bar JP Biru QF - T1 KS</t>
  </si>
  <si>
    <t>TR-00-TB-FT1-JB5-000</t>
  </si>
  <si>
    <t>Tabung Gas Baru Vol.10 m3 50L-200Bar JP Biru QF-6B KS</t>
  </si>
  <si>
    <t>TR-00-TB-F6B-JB5-000</t>
  </si>
  <si>
    <t>Tabung Gas Baru Vol.10 m3 50L-200Bar JP Biru Tanpa Kran</t>
  </si>
  <si>
    <t>TR-00-TB-TK0-JB5-000</t>
  </si>
  <si>
    <t>Tabung Gas Baru Vol.10 m3 50L-200Bar UC Biru QF-6B KS</t>
  </si>
  <si>
    <t>TR-00-TB-F6B-UB5-000</t>
  </si>
  <si>
    <t>Tabung Gas Baru Vol.10 m3 50L-200Bar UC Biru Tanpa Kran</t>
  </si>
  <si>
    <t>TR-00-TB-TK0-UB5-000</t>
  </si>
  <si>
    <t>Tabung Gas Baru Vol.10 M3 68L QF 2A6 KS</t>
  </si>
  <si>
    <t>TR-00-TB-2A6-000-000</t>
  </si>
  <si>
    <t>Tabung Gas Baru Vol.10 M3 68L UC Merah QF 2A6  N2O</t>
  </si>
  <si>
    <t>TR-00-TB-2A6-UM6-N2O</t>
  </si>
  <si>
    <t>Tabung Gas Baru Vol.10 M3 68L UC Merah QF 2G1 Ar HP</t>
  </si>
  <si>
    <t>TR-00-TB-2G1-UM6-ARH</t>
  </si>
  <si>
    <t>Tabung Gas Baru Vol.10 M3 68L UC Merah QF 2G1 Ar UHP</t>
  </si>
  <si>
    <t>TR-00-TB-2G1-UM6-ARU</t>
  </si>
  <si>
    <t>Tabung Gas Baru Vol.10 M3 68L UC Merah QF 2G1 Ar Wg</t>
  </si>
  <si>
    <t>TR-00-TB-2G1-UM6-ARW</t>
  </si>
  <si>
    <t>Tabung Gas Baru Vol.10 M3 68L UC Merah QF 2G1 KS</t>
  </si>
  <si>
    <t>TR-00-TB-2G1-UM6-068</t>
  </si>
  <si>
    <t>Tabung Gas Baru Vol.10 M3 68L UC Merah QF 30 H2 UHP</t>
  </si>
  <si>
    <t>TR-00-TB-F30-UM6-H2P</t>
  </si>
  <si>
    <t>Tabung Gas Baru Vol.10 M3 68L UC Merah QF 30 H2 WG</t>
  </si>
  <si>
    <t>TR-00-TB-F30-UM6-H2G</t>
  </si>
  <si>
    <t>Tabung Gas Baru Vol.10 M3 68L UC Merah QF-2A6 KS</t>
  </si>
  <si>
    <t>TR-00-TB-2A6-UM6-068</t>
  </si>
  <si>
    <t>Tabung Gas Baru Vol.10 M3 68L UC Merah QF-2G1 He UHP</t>
  </si>
  <si>
    <t>TR-00-TB-2G1-UM6-HEU</t>
  </si>
  <si>
    <t>Tabung Gas Baru Vol.10 M3 68L UC Merah QF-30 KS</t>
  </si>
  <si>
    <t>TR-00-TB-F30-UM6-068</t>
  </si>
  <si>
    <t>Tabung Gas Baru Vol.10 M3 68L UC Merah Tanpa Kran</t>
  </si>
  <si>
    <t>TR-00-TB-TK0-UM6-000</t>
  </si>
  <si>
    <t>Tabung Gas Baru Vol.10 m3 68L UC-Merah QF-2A6 CO2 40 Kg</t>
  </si>
  <si>
    <t>TR-00-TB-2A6-UM6-C40</t>
  </si>
  <si>
    <t>Tabung Gas Baru Vol.10 M3 JP KS</t>
  </si>
  <si>
    <t>TR-00-TB-TK0-JP0-000</t>
  </si>
  <si>
    <t>Tabung Gas Baru Vol.10 m3 UC Biru QF-2G1 He</t>
  </si>
  <si>
    <t>TR-00-TB-2G1-UBR-HEU</t>
  </si>
  <si>
    <t>Tabung Gas Baru Vol.2 M3 PA Biru QF-2A6 N2O</t>
  </si>
  <si>
    <t>TR-00-TB-2A6-PB2-N2O</t>
  </si>
  <si>
    <t>Tabung Gas Baru Vol.2 M3 PA Biru QF-2G1 Ar HP</t>
  </si>
  <si>
    <t>TR-00-TB-2G1-PB2-ARH</t>
  </si>
  <si>
    <t>Tabung Gas Baru Vol.2 M3 PA Biru QF-2G1 Ar UHP</t>
  </si>
  <si>
    <t>TR-00-TB-2G1-PB2-ARU</t>
  </si>
  <si>
    <t>Tabung Gas Baru Vol.2 M3 PA Biru QF-2G1 Ar Wg</t>
  </si>
  <si>
    <t>TR-00-TB-2G1-PB2-ARW</t>
  </si>
  <si>
    <t>Tabung Gas Baru Vol.2 M3 PA Biru QF-2G1 KS</t>
  </si>
  <si>
    <t>TR-00-TB-2G1-PB2-000</t>
  </si>
  <si>
    <t>Tabung Gas Baru Vol.2 M3 PA Putih  QF-2A6 N2O</t>
  </si>
  <si>
    <t>TR-00-TB-2A6-PP2-N2O</t>
  </si>
  <si>
    <t>Tabung Gas Baru Vol.2 M3 PA Putih QF 2A6 CO2 8Kg FG</t>
  </si>
  <si>
    <t>TR-00-TB-2A6-PP2-COF</t>
  </si>
  <si>
    <t>Tabung Gas Baru Vol.2 M3 PA Putih QF 2A6 KS</t>
  </si>
  <si>
    <t>TR-00-TB-2A6-PP2-000</t>
  </si>
  <si>
    <t>Tabung Gas Baru Vol.2 M3 PA Putih QF 2G1 SV He uhp</t>
  </si>
  <si>
    <t>TR-00-TB-2GS-PP2-HEU</t>
  </si>
  <si>
    <t>Tabung Gas Baru Vol.2 M3 PA Putih QF 30 H2 HP</t>
  </si>
  <si>
    <t>TR-00-TB-F30-PP2-H2P</t>
  </si>
  <si>
    <t>Tabung Gas Baru Vol.2 M3 PA Putih QF 30 H2 UHP</t>
  </si>
  <si>
    <t>TR-00-TB-F30-PP2-H2U</t>
  </si>
  <si>
    <t>Tabung Gas Baru Vol.2 M3 PA Putih QF-2G1 SV Ar HP</t>
  </si>
  <si>
    <t>TR-00-TB-2GS-PP2-ARH</t>
  </si>
  <si>
    <t>Tabung Gas Baru Vol.2 M3 PA Putih QF-2G1 SV Ar UHP</t>
  </si>
  <si>
    <t>TR-00-TB-2GS-PP2-ARU</t>
  </si>
  <si>
    <t>Tabung Gas Baru Vol.2 M3 PA Putih QF-2G1 SV arWG</t>
  </si>
  <si>
    <t>TR-00-TB-2GS-PP2-ARW</t>
  </si>
  <si>
    <t>Tabung Gas Baru Vol.2 M3 PA Putih QF-2G1 SV KS</t>
  </si>
  <si>
    <t>TR-00-TB-2GS-PP2-000</t>
  </si>
  <si>
    <t>Tabung Gas Baru Vol.2 M3 PA Putih Tanpa Kran</t>
  </si>
  <si>
    <t>TR-00-TB-TK0-PP2-000</t>
  </si>
  <si>
    <t>Tabung Gas Baru Vol.3 M3 - Putih ArWg</t>
  </si>
  <si>
    <t>TR-00-TB-TK0-000-ARW</t>
  </si>
  <si>
    <t>Tabung Gas Baru Vol.3 M3 - Putih QF 2A6 CO2 12 KG FG</t>
  </si>
  <si>
    <t>TR-00-TB-2A6-012-COF</t>
  </si>
  <si>
    <t>Tabung Gas Baru Vol.3 M3 - Putih QF 2A6 KS</t>
  </si>
  <si>
    <t>TR-00-TB-2A6-003-000</t>
  </si>
  <si>
    <t>Tabung Gas Baru Vol.3 M3 - Putih QF 2G1 SV Ar HP</t>
  </si>
  <si>
    <t>TR-00-TB-2GS-000-ARH</t>
  </si>
  <si>
    <t>Tabung Gas Baru Vol.3 M3 - Putih QF 2G1 SV Ar UHP</t>
  </si>
  <si>
    <t>TR-00-TB-2GS-000-ARU</t>
  </si>
  <si>
    <t>Tabung Gas Baru Vol.3 M3 - Putih QF 2G1 SV Ar Wg</t>
  </si>
  <si>
    <t>TR-00-TB-2GS-000-ARW</t>
  </si>
  <si>
    <t>Tabung Gas Baru Vol.3 M3 - Putih QF 2G1 SV He UHP</t>
  </si>
  <si>
    <t>TR-00-TB-2GS-000-HEU</t>
  </si>
  <si>
    <t>Tabung Gas Baru Vol.3 M3 - Putih QF 30 H2 UHP</t>
  </si>
  <si>
    <t>TR-00-TB-F30-000-H2U</t>
  </si>
  <si>
    <t>Tabung Gas Baru Vol.3 M3 - Putih QF 30 H2 WG</t>
  </si>
  <si>
    <t>TR-00-TB-F30-000-H2W</t>
  </si>
  <si>
    <t>Tabung Gas Baru Vol.3 M3 - Putih QF-2A6 SV N2O</t>
  </si>
  <si>
    <t>TR-00-TB-2A6-000-N2O</t>
  </si>
  <si>
    <t>Tabung Gas Baru Vol.3 M3 - Putih QF-2G1 SV KS</t>
  </si>
  <si>
    <t>TR-00-TB-2GS-000-000</t>
  </si>
  <si>
    <t>Tabung Gas Baru Vol.3 M3 KS</t>
  </si>
  <si>
    <t>TR-00-TB-000-000-000</t>
  </si>
  <si>
    <t>Tabung Gas Baru Vol.6 m3 JP - Biru QF 2A6 CO2 25KG IG</t>
  </si>
  <si>
    <t>TR-00-TB-2A6-JB6-COI</t>
  </si>
  <si>
    <t>Tabung Gas Baru Vol.6 m3 JP - Biru QF 2A6 KS</t>
  </si>
  <si>
    <t>TR-00-TB-2A6-JB6-000</t>
  </si>
  <si>
    <t>Tabung Gas Baru Vol.6 M3 JP - Biru Tanpa Kran</t>
  </si>
  <si>
    <t>TR-00-TB-TK0-JB6-000</t>
  </si>
  <si>
    <t>Tabung Gas Baru Vol.6 M3 JP - Putih QF-2G1 KS</t>
  </si>
  <si>
    <t>TR-00-TB-2G1-JP6-000</t>
  </si>
  <si>
    <t>Tabung Gas Baru Vol.6 M3 JP KS</t>
  </si>
  <si>
    <t>TR-00-TB-TK0-JP6-000</t>
  </si>
  <si>
    <t>Tabung Gas Baru Vol.6 M3 UC - Biru AR WG</t>
  </si>
  <si>
    <t>TR-00-TB-2A6-UB6-ARW</t>
  </si>
  <si>
    <t>Tabung Gas Baru Vol.6 m3 UC - Biru QF 2A6 CO2 15 KG FG</t>
  </si>
  <si>
    <t>TR-00-TB-2A6-UB6-1CF</t>
  </si>
  <si>
    <t>Tabung Gas Baru Vol.6 m3 UC - Biru QF 2A6 CO2 20KG IG</t>
  </si>
  <si>
    <t>TR-00-TB-2A6-UB6-0CI</t>
  </si>
  <si>
    <t>Tabung Gas Baru Vol.6 m3 UC - Biru QF 2A6 CO2 25KG FG</t>
  </si>
  <si>
    <t>TR-00-TB-2A6-UB6-2CF</t>
  </si>
  <si>
    <t>Tabung Gas Baru Vol.6 m3 UC - Biru QF 2A6 CO2 25KG IG</t>
  </si>
  <si>
    <t>TR-00-TB-2A6-UB6-5CI</t>
  </si>
  <si>
    <t>Tabung Gas Baru Vol.6 m3 UC - Biru QF- 30 KS</t>
  </si>
  <si>
    <t>TR-00-TB-F30-UB6-000</t>
  </si>
  <si>
    <t>Tabung Gas Baru Vol.6 m3 UC - Biru QF 6B KS</t>
  </si>
  <si>
    <t>TR-00-TB-F6B-UB6-000</t>
  </si>
  <si>
    <t>Tabung Gas Baru Vol.6 m3 UC - Biru QF-2A6 CO2 20KG FG</t>
  </si>
  <si>
    <t>TR-00-TB-2A6-UB6-C2F</t>
  </si>
  <si>
    <t>Tabung Gas Baru Vol.6 m3 UC - Biru QF-2A6 KS</t>
  </si>
  <si>
    <t>TR-00-TB-2A6-UB6-000</t>
  </si>
  <si>
    <t>Tabung Gas Baru Vol.6 m3 UC - Biru QF-2G1 Ar HP</t>
  </si>
  <si>
    <t>TR-00-TB-2G1-UB6-ARH</t>
  </si>
  <si>
    <t>Tabung Gas Baru Vol.6 m3 UC - Biru QF-2G1 Ar UHP</t>
  </si>
  <si>
    <t>TR-00-TB-2G1-UB6-ARU</t>
  </si>
  <si>
    <t>Tabung Gas Baru Vol.6 m3 UC - Biru QF-2G1 Ar Wg</t>
  </si>
  <si>
    <t>TR-00-TB-2G1-UB6-ARW</t>
  </si>
  <si>
    <t>Tabung Gas Baru Vol.6 m3 UC - Biru QF-2G1 He</t>
  </si>
  <si>
    <t>TR-00-TB-2G1-UB6-HE0</t>
  </si>
  <si>
    <t>Tabung Gas Baru Vol.6 m3 UC - Biru QF-2G1 KS</t>
  </si>
  <si>
    <t>TR-00-TB-2G1-UB6-000</t>
  </si>
  <si>
    <t>Tabung Gas Baru Vol.6 m3 UC - Biru QF-2G1 SV Ar WG</t>
  </si>
  <si>
    <t>TR-00-TB-2GS-UB6-ARW</t>
  </si>
  <si>
    <t>Tabung Gas Baru Vol.6 m3 UC - Biru QF-2G1 SV KS</t>
  </si>
  <si>
    <t>TR-00-TB-2GS-UB6-000</t>
  </si>
  <si>
    <t>Tabung Gas Baru Vol.6 m3 UC - Biru QF-2G1 UT</t>
  </si>
  <si>
    <t>TR-00-TB-2G1-UB6-UT0</t>
  </si>
  <si>
    <t>Tabung Gas Baru Vol.6 m3 UC - Biru QF-30 H2 UHP</t>
  </si>
  <si>
    <t>TR-00-TB-F30-UB6-H2U</t>
  </si>
  <si>
    <t>Tabung Gas Baru Vol.6 m3 UC - Biru QF-30 H2 WG</t>
  </si>
  <si>
    <t>TR-00-TB-F30-UB6-H2W</t>
  </si>
  <si>
    <t>Tabung Gas Baru Vol.6 m3 UC - Biru Tanpa Kran</t>
  </si>
  <si>
    <t>TR-00-TB-TK0-UB6-000</t>
  </si>
  <si>
    <t>Tabung Gas Baru Vol.6 m3 UC - Merah QF - 30 H2 HP</t>
  </si>
  <si>
    <t>TR-00-TB-F30-UM6-H2H</t>
  </si>
  <si>
    <t>Tabung Gas Baru Vol.6 m3 UC - Merah QF - 30 H2 UHP</t>
  </si>
  <si>
    <t>TR-00-TB-F30-UM6-H2U</t>
  </si>
  <si>
    <t>Tabung Gas Baru Vol.6 m3 UC - Merah QF - 30 H2 WG</t>
  </si>
  <si>
    <t>TR-00-TB-F30-UM6-H2W</t>
  </si>
  <si>
    <t>Tabung Gas Baru Vol.6 m3 UC - Merah QF - 30 KS</t>
  </si>
  <si>
    <t>TR-00-TB-F30-UM6-000</t>
  </si>
  <si>
    <t>Tabung Gas Baru Vol.6 m3 UC - Merah QF-2A6 KS</t>
  </si>
  <si>
    <t>TR-00-TB-2A6-UM6-000</t>
  </si>
  <si>
    <t>Tabung Gas Baru Vol.6 m3 UC - Merah QF-2G1  SV KS</t>
  </si>
  <si>
    <t>TR-00-TB-2GS-UM6-000</t>
  </si>
  <si>
    <t>Tabung Gas Baru Vol.6 m3 UC - Merah QF-2G1 KS</t>
  </si>
  <si>
    <t>TR-00-TB-2G1-UM6-000</t>
  </si>
  <si>
    <t>Tabung Gas Baru Vol.6 m3 UC - Merah Tanpa Kran</t>
  </si>
  <si>
    <t>TR-00-TB-TK0-UM6-TK0</t>
  </si>
  <si>
    <t>Tabung Gas Baru Vol.6 m3 UC - Putih QF-2A6 KS</t>
  </si>
  <si>
    <t>TR-00-TB-2A6-UP6-000</t>
  </si>
  <si>
    <t>Tabung Gas Baru Vol.6 m3 UC - Putih QF-2A6 N2O 15 KG</t>
  </si>
  <si>
    <t>TR-00-TB-2A6-UP6-N2O</t>
  </si>
  <si>
    <t>Tabung Gas Baru Vol.6 m3 UC - Putih QF-2G1 Ar HP</t>
  </si>
  <si>
    <t>TR-00-TB-2G1-UP6-ARH</t>
  </si>
  <si>
    <t>Tabung Gas Baru Vol.6 m3 UC - Putih QF-2G1 Ar UHP</t>
  </si>
  <si>
    <t>TR-00-TB-2G1-UP6-ARU</t>
  </si>
  <si>
    <t>Tabung Gas Baru Vol.6 m3 UC - Putih QF-2G1 Ar Wg</t>
  </si>
  <si>
    <t>TR-00-TB-2G1-UP6-ARW</t>
  </si>
  <si>
    <t>Tabung Gas Baru Vol.6 m3 UC - Putih QF-2G1 He UHP</t>
  </si>
  <si>
    <t>TR-00-TB-2G1-UP6-HEU</t>
  </si>
  <si>
    <t>Tabung Gas Baru Vol.6 m3 UC - Putih QF-2G1 KS</t>
  </si>
  <si>
    <t>TR-00-TB-2G1-UP6-000</t>
  </si>
  <si>
    <t>Tabung Gas Baru Vol.6 m3 UC - Putih QF-30 H2 UHP</t>
  </si>
  <si>
    <t>TR-00-TB-F30-UP6-H2U</t>
  </si>
  <si>
    <t>Tabung Gas Baru Vol.6 m3 UC - Putih QF-30 H2 WG</t>
  </si>
  <si>
    <t>TR-00-TB-F30-UP6-H2W</t>
  </si>
  <si>
    <t>Tabung Gas Baru Vol.6 m3 YA - Biru QF-2G1 KS</t>
  </si>
  <si>
    <t>TR-00-TB-2G1-YB6-000</t>
  </si>
  <si>
    <t>Tabung Gas Baru Vol.6 m3 YA - Putih QF-2G1 KS</t>
  </si>
  <si>
    <t>TR-00-TB-2G1-YP6-000</t>
  </si>
  <si>
    <t>Tabung Gas Baru Vol.7 m3 JP Biru QF- 30 KS</t>
  </si>
  <si>
    <t>TR-00-TB-F30-JB7-000</t>
  </si>
  <si>
    <t>Tabung Gas Baru Vol.7 M3 JP Biru QF-2A6 N2O 15KG</t>
  </si>
  <si>
    <t>TR-00-TB-2A6-JB7-N2O</t>
  </si>
  <si>
    <t>Tabung Gas Baru Vol.7 M3 JP Biru QF-2G1 Ar HP</t>
  </si>
  <si>
    <t>TR-00-TB-2G1-JB7-ARH</t>
  </si>
  <si>
    <t>Tabung Gas Baru Vol.7 M3 JP Biru QF-2G1 Ar UHP</t>
  </si>
  <si>
    <t>TR-00-TB-2G1-JB7-ARU</t>
  </si>
  <si>
    <t>Tabung Gas Baru Vol.7 M3 JP Biru QF-2G1 Ar Wg</t>
  </si>
  <si>
    <t>TR-00-TB-2G1-JB7-ARW</t>
  </si>
  <si>
    <t>Tabung Gas Baru Vol.7 M3 JP Biru QF-2G1 H2 UHP</t>
  </si>
  <si>
    <t>TR-00-TB-2G1-JB7-H2U</t>
  </si>
  <si>
    <t>Tabung Gas Baru Vol.7 M3 JP Biru QF-2G1 He UHP</t>
  </si>
  <si>
    <t>TR-00-TB-2G1-JB7-HEU</t>
  </si>
  <si>
    <t>Tabung Gas Baru Vol.7 M3 JP Biru QF-2G1 KS</t>
  </si>
  <si>
    <t>TR-00-TB-2G1-JB7-000</t>
  </si>
  <si>
    <t>Tabung Gas Baru Vol.7 M3 JP Biru QF-30 H2 WG</t>
  </si>
  <si>
    <t>TR-00-TB-F30-JB7-H2W</t>
  </si>
  <si>
    <t>Tabung Gas Baru Vol.7 M3 JP Biru Tanpa Kran</t>
  </si>
  <si>
    <t>TR-00-TB-TK0-JB7-000</t>
  </si>
  <si>
    <t>Tabung Gas Baru Vol.7 m3 JP QF- 30 H2 WG</t>
  </si>
  <si>
    <t>TR-00-TB-F30-JP7-H2W</t>
  </si>
  <si>
    <t xml:space="preserve">Gas Oksigen 0,3 m3 </t>
  </si>
  <si>
    <t>GS-00-00-O20-003-000</t>
  </si>
  <si>
    <t xml:space="preserve">Gas Oksigen 0,5 m3 </t>
  </si>
  <si>
    <t>GS-00-00-O20-005-000</t>
  </si>
  <si>
    <t xml:space="preserve">Gas Oksigen 1 M3 - A </t>
  </si>
  <si>
    <t>GS-00-00-O20-10A-000</t>
  </si>
  <si>
    <t>Gas Oksigen 1 M3 A - 100 Bar</t>
  </si>
  <si>
    <t>GS-00-00-O20-010-100</t>
  </si>
  <si>
    <t>Gas Oksigen 1 M3 A - 75 Bar</t>
  </si>
  <si>
    <t>GS-00-00-O20-010-075</t>
  </si>
  <si>
    <t xml:space="preserve">Gas Oksigen 1,5 m3 </t>
  </si>
  <si>
    <t>GS-00-00-O20-015-000</t>
  </si>
  <si>
    <t xml:space="preserve">Gas Oksigen 2 m3 </t>
  </si>
  <si>
    <t>GS-00-00-O20-020-000</t>
  </si>
  <si>
    <t xml:space="preserve">Gas Oksigen 3 m3 </t>
  </si>
  <si>
    <t>GS-00-00-O20-030-000</t>
  </si>
  <si>
    <t xml:space="preserve">Gas Oksigen 6 m3 </t>
  </si>
  <si>
    <t>GS-00-00-O20-060-000</t>
  </si>
  <si>
    <t xml:space="preserve">Gas Oksigen 7 m3 </t>
  </si>
  <si>
    <t>GS-00-00-O20-070-000</t>
  </si>
  <si>
    <t>Gas Oksigen 6 m3 HP</t>
  </si>
  <si>
    <t>GS-00-00-O20-060-HPO</t>
  </si>
  <si>
    <t>Gas Oksigen 6 m3 UHP (lokal)</t>
  </si>
  <si>
    <t>GS-00-00-O20-060-UHP</t>
  </si>
  <si>
    <t>Gas Oksigen 0,3m3 WG</t>
  </si>
  <si>
    <t>GS-00-00-O20-003-WG0</t>
  </si>
  <si>
    <t>Gas Oksigen 0,5m3 WG</t>
  </si>
  <si>
    <t>GS-00-00-O20-005-WG0</t>
  </si>
  <si>
    <t>Gas Oksigen 1m3 WG</t>
  </si>
  <si>
    <t>GS-00-00-O20-010-WG0</t>
  </si>
  <si>
    <t>Gas Oksigen 1,5m3 WG</t>
  </si>
  <si>
    <t>GS-00-00-O20-015-WG0</t>
  </si>
  <si>
    <t>Gas Oksigen 2 m3 WG</t>
  </si>
  <si>
    <t>GS-00-00-O20-020-WG0</t>
  </si>
  <si>
    <t>Gas Oksigen 3 m3 WG</t>
  </si>
  <si>
    <t>GS-00-00-O20-030-WG0</t>
  </si>
  <si>
    <t>Gas Oksigen 6 m3 WG</t>
  </si>
  <si>
    <t>GS-00-00-O20-060-WG0</t>
  </si>
  <si>
    <t>Gas Nitrogen 7 m3 WG</t>
  </si>
  <si>
    <t>GS-00-00-N20-070-WG0</t>
  </si>
  <si>
    <t>Gas Nitrogen 10m3 WG (50L-200Bar)</t>
  </si>
  <si>
    <t>GS-00-00-N20-100-W50</t>
  </si>
  <si>
    <t>Gas Nitrogen 10m3 WG (68L-150Bar)</t>
  </si>
  <si>
    <t>GS-00-00-N20-100-W68</t>
  </si>
  <si>
    <t>Gas Nitrogen 1m3 HP</t>
  </si>
  <si>
    <t>GS-00-00-N20-010-HPO</t>
  </si>
  <si>
    <t>Gas Nitrogen 1,5m3 HP</t>
  </si>
  <si>
    <t>GS-00-00-N20-015-HPO</t>
  </si>
  <si>
    <t>Gas Nitrogen 2 m3 HP</t>
  </si>
  <si>
    <t>GS-00-00-N20-020-HPO</t>
  </si>
  <si>
    <t>Gas Nitrogen 6 m3 HP</t>
  </si>
  <si>
    <t>GS-00-00-N20-060-HPO</t>
  </si>
  <si>
    <t>Gas Nitrogen 7m3 HP</t>
  </si>
  <si>
    <t>GS-00-00-N20-070-HPO</t>
  </si>
  <si>
    <t>Gas Nitrogen 10m3 (50L-200Bar) HP</t>
  </si>
  <si>
    <t>GS-00-00-N20-100-HPO</t>
  </si>
  <si>
    <t>Gas Nitrogen 10m3 (50L-200Bar) UHP</t>
  </si>
  <si>
    <t>GS-00-00-N20-100-UHP</t>
  </si>
  <si>
    <t>GS-00-00-UT0-010-000</t>
  </si>
  <si>
    <t>Gas Udara Tekan 1,5M3</t>
  </si>
  <si>
    <t>GS-00-00-UT0-015-000</t>
  </si>
  <si>
    <t>Gas Udara Tekan 2M3</t>
  </si>
  <si>
    <t>GS-00-00-UT0-020-000</t>
  </si>
  <si>
    <t>Gas Udara Tekan 6m3</t>
  </si>
  <si>
    <t>GS-00-00-UT0-060-000</t>
  </si>
  <si>
    <t>Gas Udara Tekan 7m3</t>
  </si>
  <si>
    <t>GS-00-00-UT0-070-000</t>
  </si>
  <si>
    <t>Gas Udara Tekan 10m3 HP (50L-200Bar)</t>
  </si>
  <si>
    <t>GS-00-00-UT0-100-HPO</t>
  </si>
  <si>
    <t>Gas Udara Tekan 10m3 UHP (50L-200Bar)</t>
  </si>
  <si>
    <t>GS-00-00-UT0-100-UHP</t>
  </si>
  <si>
    <t>GS-00-00-UT0-100-WG0</t>
  </si>
  <si>
    <t>Gas Helium 1 M3 WG</t>
  </si>
  <si>
    <t>GS-00-00-HE0-003-WG0</t>
  </si>
  <si>
    <t>Gas Helium 0,3 M3 UHP</t>
  </si>
  <si>
    <t>GS-00-00-HE0-005-UHP</t>
  </si>
  <si>
    <t>Gas Helium 0,5 M3 UHP</t>
  </si>
  <si>
    <t>GS-00-00-HE0-010-UHP</t>
  </si>
  <si>
    <t>Gas Helium 1 M3 UHP</t>
  </si>
  <si>
    <t>GS-00-00-HE0-015-UHP</t>
  </si>
  <si>
    <t>Gas Helium 1,5 M3 UHP</t>
  </si>
  <si>
    <t>GS-00-00-HE0-020-UHP</t>
  </si>
  <si>
    <t>Gas Helium 2 M3 UHP</t>
  </si>
  <si>
    <t>GS-00-00-HE0-030-UHP</t>
  </si>
  <si>
    <t>Gas Helium 6 M3 UHP</t>
  </si>
  <si>
    <t>GS-00-00-HE0-060-UHP</t>
  </si>
  <si>
    <t>Gas Helium 7 M3 UHP</t>
  </si>
  <si>
    <t>GS-00-00-HE0-070-UHP</t>
  </si>
  <si>
    <t>Gas Helium 10 M3 UHP</t>
  </si>
  <si>
    <t>GS-00-00-HE0-100-UHP</t>
  </si>
  <si>
    <t>Gas Carbondioxide CO2 0,3 m3 (1Kg) Industri Grade</t>
  </si>
  <si>
    <t>GS-00-IG-CO2-003-001</t>
  </si>
  <si>
    <t>Gas Carbondioxide CO2 0,5 m3 (2Kg) Industri Grade</t>
  </si>
  <si>
    <t>GS-00-IG-CO2-005-002</t>
  </si>
  <si>
    <t>Gas Carbondioxide CO2 1 m3 (4Kg) Industri Grade</t>
  </si>
  <si>
    <t>GS-00-IG-CO2-010-004</t>
  </si>
  <si>
    <t>Gas Carbondioxide CO2 1,5m3 (5Kg) Industri Grade</t>
  </si>
  <si>
    <t>GS-00-IG-CO2-015-005</t>
  </si>
  <si>
    <t>Gas Carbondioxide CO2 1,5m3 (6Kg) Industri Grade</t>
  </si>
  <si>
    <t>GS-00-IG-CO2-015-006</t>
  </si>
  <si>
    <t>Gas Carbondioxide CO2 2 m3 (8Kg) Industri Grade</t>
  </si>
  <si>
    <t>GS-00-IG-CO2-020-008</t>
  </si>
  <si>
    <t>Gas Carbondioxide CO2 6 m3 (15Kg) Industri Grade</t>
  </si>
  <si>
    <t>GS-00-IG-CO2-060-015</t>
  </si>
  <si>
    <t>Gas Carbondioxide CO2 6 m3 (20Kg) Industri Grade</t>
  </si>
  <si>
    <t>GS-00-IG-CO2-060-020</t>
  </si>
  <si>
    <t>Gas Carbondioxide CO2 7 m3 (20Kg) Industri Grade</t>
  </si>
  <si>
    <t>GS-00-IG-CO2-070-020</t>
  </si>
  <si>
    <t>Gas Carbondioxide CO2 6 m3 (25Kg) Industri Grade</t>
  </si>
  <si>
    <t>GS-00-IG-CO2-060-025</t>
  </si>
  <si>
    <t>Gas Carbondioxide CO2 7 m3 (25Kg) Industri Grade</t>
  </si>
  <si>
    <t>GS-00-IG-CO2-070-025</t>
  </si>
  <si>
    <t>Gas Carbondioxide CO2 10 m3 (40Kg) Industri Grade</t>
  </si>
  <si>
    <t>GS-00-IG-CO2-100-040</t>
  </si>
  <si>
    <t>Gas Carbondioxide CO2 10 m3 (45Kg) Industri Grade</t>
  </si>
  <si>
    <t>GS-00-IG-CO2-100-045</t>
  </si>
  <si>
    <t>Gas Carbondioxide CO2 0,3 m3 (1Kg) Food Grade</t>
  </si>
  <si>
    <t>GS-00-FG-CO2-003-001</t>
  </si>
  <si>
    <t>Gas Carbondioxide CO2 0,5m3 (2Kg) Food Grade</t>
  </si>
  <si>
    <t>GS-00-FG-CO2-005-002</t>
  </si>
  <si>
    <t>Gas Carbondioxide CO2 0,5m3 (3Kg) Food Grade</t>
  </si>
  <si>
    <t>GS-00-FG-CO2-005-003</t>
  </si>
  <si>
    <t>Gas Carbondioxide CO2 1 m3 (4Kg) Food Grade</t>
  </si>
  <si>
    <t>GS-00-FG-CO2-010-004</t>
  </si>
  <si>
    <t>Gas Carbondioxide CO2 1 m3 (5 Kg) Food Grade</t>
  </si>
  <si>
    <t>GS-00-FG-CO2-010-005</t>
  </si>
  <si>
    <t>Gas Carbondioxide CO2 1,5m3 (6Kg) Food Grade</t>
  </si>
  <si>
    <t>GS-00-FG-CO2-015-006</t>
  </si>
  <si>
    <t>Gas Carbondioxide CO2 2 m3 (8Kg) Food Grade</t>
  </si>
  <si>
    <t>GS-00-FG-CO2-020-008</t>
  </si>
  <si>
    <t>Gas Carbondioxide CO2 3 m3 (12Kg) Food Grade</t>
  </si>
  <si>
    <t>GS-00-FG-CO2-030-012</t>
  </si>
  <si>
    <t>Gas Carbondioxide CO2 6 m3 (15Kg) Food Grade</t>
  </si>
  <si>
    <t>GS-00-FG-CO2-060-015</t>
  </si>
  <si>
    <t>Gas Carbondioxide CO2 6 m3 (20Kg) Food Grade</t>
  </si>
  <si>
    <t>GS-00-FG-CO2-060-020</t>
  </si>
  <si>
    <t>Gas Carbondioxide CO2 7 m3(20Kg) Food Grade</t>
  </si>
  <si>
    <t>GS-00-FG-CO2-070-020</t>
  </si>
  <si>
    <t>Gas Carbondioxide CO2 6 m3 (25Kg) Food Grade</t>
  </si>
  <si>
    <t>GS-00-FG-CO2-060-025</t>
  </si>
  <si>
    <t>Gas Carbondioxide CO2 7 m3 (25Kg) Food Grade</t>
  </si>
  <si>
    <t>GS-00-FG-CO2-070-025</t>
  </si>
  <si>
    <t>GS-00-FG-CO2-060-045</t>
  </si>
  <si>
    <t>GS-00-00-CO2-030-000</t>
  </si>
  <si>
    <t>GS-00-00-CO2-009-000</t>
  </si>
  <si>
    <t>GS-00-00-CO2-040-000</t>
  </si>
  <si>
    <t>GS-00-00-CO2-045-000</t>
  </si>
  <si>
    <t>GS-00-00-CO2-006-000</t>
  </si>
  <si>
    <t>GS-00-00-N2O-003-001</t>
  </si>
  <si>
    <t>GS-00-00-N2O-005-002</t>
  </si>
  <si>
    <t>GS-00-00-N2O-010-004</t>
  </si>
  <si>
    <t>GS-00-00-N2O-015-006</t>
  </si>
  <si>
    <t>GS-00-00-N2O-020-008</t>
  </si>
  <si>
    <t>GS-00-00-N2O-030-012</t>
  </si>
  <si>
    <t>Gas Nitrousoxide N2O 6m3 (15Kg)</t>
  </si>
  <si>
    <t>GS-00-00-N2O-060-015</t>
  </si>
  <si>
    <t>Gas Nitrousoxide N2O 7m3  (15Kg)</t>
  </si>
  <si>
    <t>GS-00-00-N2O-070-015</t>
  </si>
  <si>
    <t>Gas Nitrousoxide N2O 6m3 (20Kg)</t>
  </si>
  <si>
    <t>GS-00-00-N2O-060-020</t>
  </si>
  <si>
    <t>Gas Nitrousoxide N2O 7m3 (20Kg)</t>
  </si>
  <si>
    <t>GS-00-00-N2O-070-020</t>
  </si>
  <si>
    <t>Gas Nitrousoxide N2O 6m3  (25Kg)</t>
  </si>
  <si>
    <t>GS-00-00-N2O-060-025</t>
  </si>
  <si>
    <t>Gas Nitrousoxide N2O 7m3  (25Kg)</t>
  </si>
  <si>
    <t>GS-00-00-N2O-070-025</t>
  </si>
  <si>
    <t>GS-00-00-N2O-100-000</t>
  </si>
  <si>
    <t>Gas Argon 0,3 m3 WG</t>
  </si>
  <si>
    <t>GS-00-00-AR0-003-WG0</t>
  </si>
  <si>
    <t>Gas Argon 0,5 m3 WG</t>
  </si>
  <si>
    <t>GS-00-00-AR0-005-WG0</t>
  </si>
  <si>
    <t>Gas Argon 1 m3 WG</t>
  </si>
  <si>
    <t>GS-00-00-AR0-010-WG0</t>
  </si>
  <si>
    <t>Gas Argon 1,5 m3 WG</t>
  </si>
  <si>
    <t>GS-00-00-AR0-015-WG0</t>
  </si>
  <si>
    <t>Gas Argon 2 m3 WG</t>
  </si>
  <si>
    <t>GS-00-00-AR0-020-WG0</t>
  </si>
  <si>
    <t>Gas Argon 3 m3 WG</t>
  </si>
  <si>
    <t>GS-00-00-AR0-030-WG0</t>
  </si>
  <si>
    <t>Gas Argon 6 m3 WG</t>
  </si>
  <si>
    <t>GS-00-00-AR0-060-WG0</t>
  </si>
  <si>
    <t>Gas Argon 7 m3 WG</t>
  </si>
  <si>
    <t>GS-00-00-AR0-070-WG0</t>
  </si>
  <si>
    <t>Gas Argon 0,3 m3 HP</t>
  </si>
  <si>
    <t>GS-00-00-AR0-003-HP0</t>
  </si>
  <si>
    <t>Gas Argon 0,5 m3 HP</t>
  </si>
  <si>
    <t>GS-00-00-AR0-005-HP0</t>
  </si>
  <si>
    <t>Gas Argon 1 m3 HP</t>
  </si>
  <si>
    <t>GS-00-00-AR0-010-HP0</t>
  </si>
  <si>
    <t>Gas Argon 1,5 m3 HP</t>
  </si>
  <si>
    <t>GS-00-00-AR0-015-HP0</t>
  </si>
  <si>
    <t>Gas Argon 2 m3 HP</t>
  </si>
  <si>
    <t>GS-00-00-AR0-020-HP0</t>
  </si>
  <si>
    <t>Gas Argon 6 m3HP</t>
  </si>
  <si>
    <t>GS-00-00-AR0-060-HP0</t>
  </si>
  <si>
    <t>Gas Argon 7 m3 HP</t>
  </si>
  <si>
    <t>GS-00-00-AR0-070-HP0</t>
  </si>
  <si>
    <t>Gas Argon 10 m3 HP</t>
  </si>
  <si>
    <t>GS-00-00-AR0-100-HP0</t>
  </si>
  <si>
    <t>Gas Argon 0,3 m3 UHP</t>
  </si>
  <si>
    <t>GS-00-00-AR0-003-UHP</t>
  </si>
  <si>
    <t>Gas Argon 0,5 m3 UHP</t>
  </si>
  <si>
    <t>GS-00-00-AR0-005-UHP</t>
  </si>
  <si>
    <t>Gas Argon 1 m3 UHP</t>
  </si>
  <si>
    <t>GS-00-00-AR0-010-UHP</t>
  </si>
  <si>
    <t>Gas Argon 1,5 m3 UHP</t>
  </si>
  <si>
    <t>GS-00-00-AR0-015-UHP</t>
  </si>
  <si>
    <t>Gas Argon 2 m3 UHP</t>
  </si>
  <si>
    <t>GS-00-00-AR0-020-UHP</t>
  </si>
  <si>
    <t>Gas Argon 6 m3 UHP</t>
  </si>
  <si>
    <t>GS-00-00-AR0-060-UHP</t>
  </si>
  <si>
    <t>Gas Argon 7 m3 UHP</t>
  </si>
  <si>
    <t>GS-00-00-AR0-070-UHP</t>
  </si>
  <si>
    <t>Gas Argon 10 m3 UHP</t>
  </si>
  <si>
    <t>GS-00-00-AR0-100-UHP</t>
  </si>
  <si>
    <t>Purging Gas Argon 6 m3 WG</t>
  </si>
  <si>
    <t>GS-00-00-PR0-060-WG0</t>
  </si>
  <si>
    <t>Purging Gas Argon 7 m3 WG</t>
  </si>
  <si>
    <t>GS-00-00-PR0-070-WG0</t>
  </si>
  <si>
    <t>Purging Gas Argon 10 m3 WG</t>
  </si>
  <si>
    <t>GS-00-00-PR0-100-WG0</t>
  </si>
  <si>
    <t>GS-00-00-ARC-060-NNN</t>
  </si>
  <si>
    <t>GS-00-00-CCO-000-NNN</t>
  </si>
  <si>
    <t>Gas Acetylene WG (2-3 kg)</t>
  </si>
  <si>
    <t>GS-00-00-ACY-002-WG0</t>
  </si>
  <si>
    <t>Gas Acetylene HP/UHP (acetone max diisi 6kg)</t>
  </si>
  <si>
    <t>GS-00-00-ACY-006-NNN</t>
  </si>
  <si>
    <t>GS-00-00-ACY-020-HP0</t>
  </si>
  <si>
    <t>GS-00-00-ACY-030-HP0</t>
  </si>
  <si>
    <t>GS-00-00-ACY-040-HP0</t>
  </si>
  <si>
    <t>GS-00-00-ACY-020-UHP</t>
  </si>
  <si>
    <t>GS-00-00-ACY-030-UHP</t>
  </si>
  <si>
    <t>GS-00-00-ACY-060-UHP</t>
  </si>
  <si>
    <t>GS-00-00-ACY-040-WG0</t>
  </si>
  <si>
    <t>GS-00-00-ACY-030-000</t>
  </si>
  <si>
    <t>GS-00-00-ACY-060-WG0</t>
  </si>
  <si>
    <t>Acetone (1 Kg)</t>
  </si>
  <si>
    <t>GS-00-00-ACT-001-000</t>
  </si>
  <si>
    <t>GS-00-00-ACT-040-000</t>
  </si>
  <si>
    <t>GS-00-00-ACT-060-000</t>
  </si>
  <si>
    <t>Gas Hidrogen 0,3M3 WG</t>
  </si>
  <si>
    <t>GS-00-00-H20-003-WG0</t>
  </si>
  <si>
    <t>Gas Hidrogen 1M3 WG</t>
  </si>
  <si>
    <t>GS-00-00-H21-001-WG0</t>
  </si>
  <si>
    <t>Gas Hidrogen 1,5M3 WG</t>
  </si>
  <si>
    <t>GS-00-00-H20-015-WG0</t>
  </si>
  <si>
    <t>Gas Hidrogen 2M3 WG</t>
  </si>
  <si>
    <t>GS-00-00-H20-020-WG0</t>
  </si>
  <si>
    <t>Gas Hidrogen 6M3 WG refill</t>
  </si>
  <si>
    <t>GS-00-00-H20-060-WG0</t>
  </si>
  <si>
    <t>Gas Hidrogen 7M3 WG refill</t>
  </si>
  <si>
    <t>GS-00-00-H20-070-WG0</t>
  </si>
  <si>
    <t>Gas Hidrogen 10M3 WG (68L - 150Bar)</t>
  </si>
  <si>
    <t>GS-00-00-H20-010-WG0</t>
  </si>
  <si>
    <t>Gas Hidrogen 0,5M3 HP</t>
  </si>
  <si>
    <t>GS-00-00-H20-005-HP0</t>
  </si>
  <si>
    <t>Gas Hidrogen 1M3 HP</t>
  </si>
  <si>
    <t>GS-00-00-H20-010-HP0</t>
  </si>
  <si>
    <t>Gas Hidrogen 1,5 M3 HP</t>
  </si>
  <si>
    <t>GS-00-00-H20-015-HP0</t>
  </si>
  <si>
    <t>Gas Hidrogen 2 M3 HP</t>
  </si>
  <si>
    <t>GS-00-00-H20-020-HP0</t>
  </si>
  <si>
    <t>Gas Hidrogen 6M3 HP refill</t>
  </si>
  <si>
    <t>GS-00-00-H20-060-HP0</t>
  </si>
  <si>
    <t>Gas Hidrogen 7M3 HP refill</t>
  </si>
  <si>
    <t>GS-00-00-H20-070-HP0</t>
  </si>
  <si>
    <t>Gas Hidrogen 0,3M3, UHP</t>
  </si>
  <si>
    <t>GS-00-00-H20-003-UHP</t>
  </si>
  <si>
    <t>Gas Hidrogen 0,5M3, UHP</t>
  </si>
  <si>
    <t>GS-00-00-H20-005-UHP</t>
  </si>
  <si>
    <t>Gas Hidrogen 1M3, UHP</t>
  </si>
  <si>
    <t>GS-00-00-H20-010-UHP</t>
  </si>
  <si>
    <t>Gas Hidrogen 2M3, UHP</t>
  </si>
  <si>
    <t>GS-00-00-H20-020-UHP</t>
  </si>
  <si>
    <t>Gas Hidrogen 6M3 UHP</t>
  </si>
  <si>
    <t>GS-00-00-H20-060-UHP</t>
  </si>
  <si>
    <t>Gas Hidrogen 7M3 UHP</t>
  </si>
  <si>
    <t>GS-00-00-H20-070-UHP</t>
  </si>
  <si>
    <t>Gas Hidrogen 10M3 UHP (50L - 200Bar)</t>
  </si>
  <si>
    <t>GS-00-00-H20-050-UHP</t>
  </si>
  <si>
    <t>Gas Hidrogen 10M3 UHP (68L - 150Bar)</t>
  </si>
  <si>
    <t>GS-00-00-H20-068-UHP</t>
  </si>
  <si>
    <t>Gas Oksigen MP 6 M3</t>
  </si>
  <si>
    <t>GS-01-00-O20-060-WG0</t>
  </si>
  <si>
    <t>Gas Oksigen MP 7 M3</t>
  </si>
  <si>
    <t>GS-01-00-O20-070-WG0</t>
  </si>
  <si>
    <t>Gas Oksigen MP 7.5 M3</t>
  </si>
  <si>
    <t>GS-01-00-O20-075-WG0</t>
  </si>
  <si>
    <t>Gas Oksigen MR M3</t>
  </si>
  <si>
    <t>GS-05-MR-O20-0M3-WG0</t>
  </si>
  <si>
    <t>Tabung Gas Baru Vol.10 M3 50L UC Biru QF - T1 KS</t>
  </si>
  <si>
    <t>TR-00-TB-FT1-UB5-000</t>
  </si>
  <si>
    <t>Gas Acytelene BB MP</t>
  </si>
  <si>
    <t>GS-01-00-ACY-BB0-WG0</t>
  </si>
  <si>
    <t>Gas Acytelene BP MP</t>
  </si>
  <si>
    <t>GS-01-00-ACY-BP0-WG0</t>
  </si>
  <si>
    <t>Gas Acytelene BS MP</t>
  </si>
  <si>
    <t>GS-01-00-ACY-BS0-WG0</t>
  </si>
  <si>
    <t>Gas Acytelene HP MR</t>
  </si>
  <si>
    <t>GS-05-MR-ACY-0M3-HP0</t>
  </si>
  <si>
    <t>Gas Acytelene JB MP</t>
  </si>
  <si>
    <t>GS-01-00-ACY-JB0-WG0</t>
  </si>
  <si>
    <t>Gas Acytelene MR</t>
  </si>
  <si>
    <t>GS-05-MR-ACY-0M3-WG0</t>
  </si>
  <si>
    <t>Gas Argon HP MR 7 M3</t>
  </si>
  <si>
    <t>GS-05-MR-AR0-070-HP0</t>
  </si>
  <si>
    <t>Gas Argon WG MP 6 M3</t>
  </si>
  <si>
    <t>GS-01-00-AR0-060-MP0</t>
  </si>
  <si>
    <t>Gas Argon WG MP 7 M3</t>
  </si>
  <si>
    <t>GS-01-00-AR0-070-MP0</t>
  </si>
  <si>
    <t>Gas Argon WG MR 1 M3</t>
  </si>
  <si>
    <t>GS-05-MR-AR0-010-WG0</t>
  </si>
  <si>
    <t>Gas Argon WG MR 1.5 M3</t>
  </si>
  <si>
    <t>GS-05-MR-AR0-015-WG0</t>
  </si>
  <si>
    <t>Gas Argon WG MR 2 M3</t>
  </si>
  <si>
    <t>GS-05-MR-AR0-020-WG0</t>
  </si>
  <si>
    <t>Gas Argon WG MR 6 M3</t>
  </si>
  <si>
    <t>GS-05-MR-AR0-060-WG0</t>
  </si>
  <si>
    <t>Gas Karbondioksida MP 25 KG (6 M3)</t>
  </si>
  <si>
    <t>GS-01-00-CO2-060-025</t>
  </si>
  <si>
    <t>Gas Karbondioksida MR 2 KG (0.5 M3)</t>
  </si>
  <si>
    <t>GS-05-MR-CO2-002-WG0</t>
  </si>
  <si>
    <t>Gas Karbondioksida MR 25 KG (6 M3)</t>
  </si>
  <si>
    <t>GS-05-MR-CO2-025-WG0</t>
  </si>
  <si>
    <t>Gas Karbondioksida MR 4 KG (1 M3)</t>
  </si>
  <si>
    <t>GS-05-MR-CO2-004-WG0</t>
  </si>
  <si>
    <t>Gas Helium UHP MR 6 M3</t>
  </si>
  <si>
    <t>GS-05-MR-HE0-060-UHP</t>
  </si>
  <si>
    <t>Gas Hydrogen HP 6 M3 MR</t>
  </si>
  <si>
    <t>GS-05-MR-H20-060-HP0</t>
  </si>
  <si>
    <t>SS-00-000-000-063</t>
  </si>
  <si>
    <t>Gas Nitrogen MP 6 M3</t>
  </si>
  <si>
    <t>GS-01-00-N20-060-WG0</t>
  </si>
  <si>
    <t>Gas Nitrogen MP 7.5 M3</t>
  </si>
  <si>
    <t>GS-01-00-N20-075-WG0</t>
  </si>
  <si>
    <t>Gas Nitrous Oxide MR 18 KG (6 M3)</t>
  </si>
  <si>
    <t>GS-05-MR-N2O-018-WG0</t>
  </si>
  <si>
    <t>Gas Nitrous Oxide MR 20 KG (6 M3)</t>
  </si>
  <si>
    <t>GS-05-MR-N2O-020-WG0</t>
  </si>
  <si>
    <t>Gas Udara Tekan MR 6 m3</t>
  </si>
  <si>
    <t>GS-05-MR-UT0-060-WG0</t>
  </si>
  <si>
    <t>Gas Acetylene WG 2 Kg &amp; Aceton 3 Kg</t>
  </si>
  <si>
    <t>GS-01-00-ACY-023-WG0</t>
  </si>
  <si>
    <t>Gas Nitrogen WG 1 M3</t>
  </si>
  <si>
    <t>Gas Nitrogen WG 6 M3</t>
  </si>
  <si>
    <t>Gas Acetylene UHP 3kg + Aceton 4kg</t>
  </si>
  <si>
    <t>GS-01-00-ACY-034-UHP</t>
  </si>
  <si>
    <t>Gas Karbondioksida MR 5 KG (1,5 M3)</t>
  </si>
  <si>
    <t>GS-05-MR-CO2-050-WG0</t>
  </si>
  <si>
    <t>Gas Karbondioksida MR 6 KG (1.5 M3)</t>
  </si>
  <si>
    <t>GS-05-MR-CO2-060-WG0</t>
  </si>
  <si>
    <t>Gas Carbondioxide 25 Kg FG</t>
  </si>
  <si>
    <t>GS-00-FG-CO2-000-025</t>
  </si>
  <si>
    <t>Tabung Gas Baru Vol.6 m3 UC - Putih QF-30 KS</t>
  </si>
  <si>
    <t>TR-00-TB-F30-UP6-000</t>
  </si>
  <si>
    <t>M3</t>
  </si>
  <si>
    <t>Ambient Air Vaporizer 200 M3-35 Bar</t>
  </si>
  <si>
    <t>Tangerang</t>
  </si>
  <si>
    <t>Surabaya</t>
  </si>
  <si>
    <t>Persediaan</t>
  </si>
  <si>
    <t>TR-00-TB-2A6-UB6-KS0</t>
  </si>
  <si>
    <t>Cryogenic Cylinder 175L - 23Bar LP</t>
  </si>
  <si>
    <t>TR-00-TV-VGL-175-023</t>
  </si>
  <si>
    <t>Tabung Gas Baru Vol.6 m3 UC - Putih QF-2A6 N2O 20 KG</t>
  </si>
  <si>
    <t>TR-00-TB-2A6-UP6-N22</t>
  </si>
  <si>
    <t>Tabung Gas Baru Vol.6 m3 UC - Abu QF 2A6 CO2 25KG FG</t>
  </si>
  <si>
    <t>TR-00-TB-2A6-UA6-C2F</t>
  </si>
  <si>
    <t>Tabung Gas Baru Vol.1 M3 PA Putih QF-30 H2 KS</t>
  </si>
  <si>
    <t>Tabung Gas Baru Vol.10 M3 50L-200Bar UC Putih QF - T1 KS</t>
  </si>
  <si>
    <t>TR-00-TB-FT1-100-000</t>
  </si>
  <si>
    <t>Jenis Barang</t>
  </si>
  <si>
    <t>Kode Barang</t>
  </si>
  <si>
    <t>Cabang : Tangerang, Surabaya, Filter berdasarkan : Kategori Barang</t>
  </si>
  <si>
    <t>Daftar Barang dan Jasa</t>
  </si>
  <si>
    <t>PT. Nisson Indonesia</t>
  </si>
  <si>
    <t>Tabung Gas Baru Vol.10 M3 UC 50L - 200 Bar Putih QF-2A6 KS</t>
  </si>
  <si>
    <t>TR-00-TB-2A6-100-KS0</t>
  </si>
  <si>
    <t>Tabung Gas Baru Vol.6 M3 UC - Putih QF-2A6 CO2 25KG FG</t>
  </si>
  <si>
    <t>TR-00-TB-2A6-CO2-25F</t>
  </si>
  <si>
    <t>Tabung Cryogenic Cylinder VGL Vol.175L - 23Bar Putih LIN</t>
  </si>
  <si>
    <t>TR-00-TV-175-232-LIN</t>
  </si>
  <si>
    <t>Tabung Gas Baru Vol.10 M3 UC 50L - 200 Bar Putih QF-6B KS</t>
  </si>
  <si>
    <t>TR-00-TB-F6B-100-KS0</t>
  </si>
  <si>
    <t>Tabung Gas Baru Vol.6 m3 UC - Biru QF-2A6 N2O 20 kg GR</t>
  </si>
  <si>
    <t>Tabung Gas Baru Vol.6 m3 UC - Biru QF-2A6 N2O 20 kg GP</t>
  </si>
  <si>
    <t>Tabung Gas Karbondioksida Vol.3,4L PA Abu QF-2A6 SV</t>
  </si>
  <si>
    <t>Tabung Gas Baru Vol.10 M3 UC Putih Tanpa Kran 50L - 200 Bar</t>
  </si>
  <si>
    <t>TB-00-UC-000-100-PTH</t>
  </si>
  <si>
    <t>Kran Oksigen QF - 6B LP</t>
  </si>
  <si>
    <t>Kran Argon PX-35</t>
  </si>
  <si>
    <t>Kran Oksigen QF-2G1 SGA</t>
  </si>
  <si>
    <t>Sparepart</t>
  </si>
  <si>
    <t>Jasa</t>
  </si>
  <si>
    <t>Jasa Freight Forwarding (reimbursement) - Surabaya</t>
  </si>
  <si>
    <t>SS-00-000-000-067</t>
  </si>
  <si>
    <t>Jasa Internet - Tangerang</t>
  </si>
  <si>
    <t>SS-00-000-000-077</t>
  </si>
  <si>
    <t>Jasa Internet - Surabaya</t>
  </si>
  <si>
    <t>SS-00-000-000-076</t>
  </si>
  <si>
    <t>Kerusakan Barang</t>
  </si>
  <si>
    <t>SS-00-000-000-075</t>
  </si>
  <si>
    <t>Biaya Pengiriman - Tangerang (Dengan PPh)</t>
  </si>
  <si>
    <t>SS-00-000-000-074</t>
  </si>
  <si>
    <t>Non Persediaan</t>
  </si>
  <si>
    <t>Biaya Pengiriman - Surabaya</t>
  </si>
  <si>
    <t>SS-00-000-000-064</t>
  </si>
  <si>
    <t>Biaya Pengiriman - Tangerang</t>
  </si>
  <si>
    <t>SS-00-000-000-072</t>
  </si>
  <si>
    <t>Jasa Vacum VGL 175L</t>
  </si>
  <si>
    <t>Jasa Angkut - Tangerang (Tanpa PPh)</t>
  </si>
  <si>
    <t>SS-00-000-000-071</t>
  </si>
  <si>
    <t>Jasa Angkut - Surabaya (Tanpa PPh)</t>
  </si>
  <si>
    <t>SS-00-000-000-070</t>
  </si>
  <si>
    <t>Biaya Pengiriman - Surabaya (Dengan PPh)</t>
  </si>
  <si>
    <t>SS-00-000-000-073</t>
  </si>
  <si>
    <t>Jasa Freight Forwading (reimbursement) - Tangerang</t>
  </si>
  <si>
    <t>SS-00-000-000-068</t>
  </si>
  <si>
    <t>Jasa Software ( Reimbersment ) - Tangerang</t>
  </si>
  <si>
    <t>SS-00-000-000-069</t>
  </si>
  <si>
    <t>Jasa Pemeliharaan Kendaraan Kantor - Surabaya (Dengan PPh)</t>
  </si>
  <si>
    <t>SS-00-000-000-066</t>
  </si>
  <si>
    <t>Jasa Pemeliharaan Kendaraan Kantor - Tangerang</t>
  </si>
  <si>
    <t>SS-00-000-000-023</t>
  </si>
  <si>
    <t>Jasa Pemeliharaan Kendaraan Kantor - Tangerang (Dengan PPh)</t>
  </si>
  <si>
    <t>SS-00-000-000-065</t>
  </si>
  <si>
    <t>Jasa Pemeliharaan Peralatan - Surabaya</t>
  </si>
  <si>
    <t>SS-00-000-000-060</t>
  </si>
  <si>
    <t>Jasa Pemeliharaan Peralatan - Tangerang</t>
  </si>
  <si>
    <t>SS-00-000-000-059</t>
  </si>
  <si>
    <t>Jasa Outsourcing (reimbursement) - Surabaya</t>
  </si>
  <si>
    <t>SS-00-000-000-058</t>
  </si>
  <si>
    <t>Jasa Outsourcing  (reimbursement) - Tangerang</t>
  </si>
  <si>
    <t>SS-00-000-000-057</t>
  </si>
  <si>
    <t>Jasa Pemeliharaan Kendaraan Gudang - Surabaya</t>
  </si>
  <si>
    <t>SS-00-000-000-026</t>
  </si>
  <si>
    <t>Jasa Sewa Kendaraan - Tangerang</t>
  </si>
  <si>
    <t>SS-00-000-000-045</t>
  </si>
  <si>
    <t>Jasa Iklan/ Promosi Penjualan - Tangerang</t>
  </si>
  <si>
    <t>SS-00-000-000-003</t>
  </si>
  <si>
    <t>Jasa Sewa Gedung &amp; Bangunan - Surabaya</t>
  </si>
  <si>
    <t>SS-00-000-000-048</t>
  </si>
  <si>
    <t>Jasa Sewa Gedung &amp; Bangunan - Tangerang</t>
  </si>
  <si>
    <t>SS-00-000-000-047</t>
  </si>
  <si>
    <t>Jasa Freight Forwarding - Surabaya</t>
  </si>
  <si>
    <t>SS-00-000-000-010</t>
  </si>
  <si>
    <t>Jasa Outsourcing  - Surabaya</t>
  </si>
  <si>
    <t>SS-00-000-000-038</t>
  </si>
  <si>
    <t>Jasa Outsourcing  - Tangerang</t>
  </si>
  <si>
    <t>SS-00-000-000-037</t>
  </si>
  <si>
    <t>Jasa Sewa Kendaraan - Surabaya</t>
  </si>
  <si>
    <t>SS-00-000-000-046</t>
  </si>
  <si>
    <t>Jasa Angkut - Tangerang</t>
  </si>
  <si>
    <t>SS-00-000-000-007</t>
  </si>
  <si>
    <t>Jasa Pendidikan &amp; Training Karyawan - Tangerang</t>
  </si>
  <si>
    <t>SS-00-000-000-027</t>
  </si>
  <si>
    <t>Jasa Pemeliharaan Kendaraan Gudang - Tangerang</t>
  </si>
  <si>
    <t>SS-00-000-000-025</t>
  </si>
  <si>
    <t>Jasa Transportasi - Surabaya</t>
  </si>
  <si>
    <t>SS-00-000-000-044</t>
  </si>
  <si>
    <t>Jasa Transportasi - Tangerang</t>
  </si>
  <si>
    <t>SS-00-000-000-043</t>
  </si>
  <si>
    <t>Jasa Perantara Penjualan - Surabaya</t>
  </si>
  <si>
    <t>SS-00-000-000-042</t>
  </si>
  <si>
    <t>Jasa Perantara Penjualan - Tangerang</t>
  </si>
  <si>
    <t>SS-00-000-000-041</t>
  </si>
  <si>
    <t>Jasa Percetakan  - Surabaya</t>
  </si>
  <si>
    <t>SS-00-000-000-040</t>
  </si>
  <si>
    <t>Jasa Percetakan  - Tangerang</t>
  </si>
  <si>
    <t>SS-00-000-000-039</t>
  </si>
  <si>
    <t>Jasa Service Tabung - Surabaya</t>
  </si>
  <si>
    <t>SS-00-000-000-036</t>
  </si>
  <si>
    <t>Jasa Service Tabung - Tangerang</t>
  </si>
  <si>
    <t>SS-00-000-000-035</t>
  </si>
  <si>
    <t>Jasa Pengurusan Dokumen Kendaraan - Surabaya</t>
  </si>
  <si>
    <t>SS-00-000-000-034</t>
  </si>
  <si>
    <t>Jasa Pengurusan Dokumen Kendaraan - Tangerang</t>
  </si>
  <si>
    <t>SS-00-000-000-033</t>
  </si>
  <si>
    <t>Jasa Appraisal - Surabaya</t>
  </si>
  <si>
    <t>SS-00-000-000-032</t>
  </si>
  <si>
    <t>Jasa Appraisal - Tangerang</t>
  </si>
  <si>
    <t>SS-00-000-000-031</t>
  </si>
  <si>
    <t>Jasa Notaris - Surabaya</t>
  </si>
  <si>
    <t>SS-00-000-000-030</t>
  </si>
  <si>
    <t>Jasa Notaris - Tangerang</t>
  </si>
  <si>
    <t>SS-00-000-000-029</t>
  </si>
  <si>
    <t>Jasa Pendidikan &amp; Training Karyawan - Surabaya</t>
  </si>
  <si>
    <t>SS-00-000-000-028</t>
  </si>
  <si>
    <t>Jasa Angkut - Surabaya</t>
  </si>
  <si>
    <t>SS-00-000-000-008</t>
  </si>
  <si>
    <t>Jasa Konsultan - Tangerang</t>
  </si>
  <si>
    <t>SS-00-000-000-001</t>
  </si>
  <si>
    <t>Jasa Iklan/ Promosi Penjualan - Surabaya</t>
  </si>
  <si>
    <t>SS-00-000-000-004</t>
  </si>
  <si>
    <t>Jasa Pembuatan Website - Tangerang</t>
  </si>
  <si>
    <t>SS-00-000-000-011</t>
  </si>
  <si>
    <t>Jasa Sewa Peralatan - Surabaya</t>
  </si>
  <si>
    <t>SS-00-000-000-006</t>
  </si>
  <si>
    <t>Jasa Sewa Peralatan - Tangerang</t>
  </si>
  <si>
    <t>SS-00-000-000-005</t>
  </si>
  <si>
    <t>Jasa Freight Forwarding - Tangerang</t>
  </si>
  <si>
    <t>SS-00-000-000-009</t>
  </si>
  <si>
    <t>Jasa Pemeliharaan Kendaraan Kantor - Surabaya</t>
  </si>
  <si>
    <t>SS-00-000-000-024</t>
  </si>
  <si>
    <t>Jasa Perbaikan &amp; Pemeliharaan Peralatan Produksi - Surabaya</t>
  </si>
  <si>
    <t>SS-00-000-000-022</t>
  </si>
  <si>
    <t>Jasa Perbaikan &amp; Pemeliharaan Peralatan Produksi - Tangerang</t>
  </si>
  <si>
    <t>SS-00-000-000-021</t>
  </si>
  <si>
    <t>Jasa Perbaikan &amp; Pemeliharaan Peralatan Kantor - Surabaya</t>
  </si>
  <si>
    <t>SS-00-000-000-020</t>
  </si>
  <si>
    <t>Jasa Perbaikan &amp; Pemeliharaan Peralatan Kantor - Tangerang</t>
  </si>
  <si>
    <t>SS-00-000-000-019</t>
  </si>
  <si>
    <t>Jasa Perbaikan &amp; Pemeliharaan Gedung Gudang -  Surabaya</t>
  </si>
  <si>
    <t>SS-00-000-000-018</t>
  </si>
  <si>
    <t>Jasa Perbaikan &amp; Pemeliharaan Gedung Gudang -  Tangerang</t>
  </si>
  <si>
    <t>SS-00-000-000-017</t>
  </si>
  <si>
    <t>Jasa Perbaikan &amp; Pemeliharaan Gedung Kantor -  Surabaya</t>
  </si>
  <si>
    <t>SS-00-000-000-016</t>
  </si>
  <si>
    <t>Jasa Perbaikan &amp; Pemeliharaan Gedung Kantor - Tangerang</t>
  </si>
  <si>
    <t>SS-00-000-000-015</t>
  </si>
  <si>
    <t>Jasa Software - Surabaya</t>
  </si>
  <si>
    <t>SS-00-000-000-014</t>
  </si>
  <si>
    <t>Jasa Software - Tangerang</t>
  </si>
  <si>
    <t>SS-00-000-000-013</t>
  </si>
  <si>
    <t>Jasa Pembuatan Website - Surabaya</t>
  </si>
  <si>
    <t>SS-00-000-000-012</t>
  </si>
  <si>
    <t>Jasa Konsultan - Surabaya</t>
  </si>
  <si>
    <t>SS-00-000-000-002</t>
  </si>
  <si>
    <t>Gas Nitrousoxide N2O 1m3  (3Kg) GRMP</t>
  </si>
  <si>
    <t>GS-01-00-N2O-010-003</t>
  </si>
  <si>
    <t>Gas Argon UHP MR 6 M3</t>
  </si>
  <si>
    <t>GS-0004</t>
  </si>
  <si>
    <t>ABC - 4,5KG</t>
  </si>
  <si>
    <t>GS-00-00-ABC-45-000</t>
  </si>
  <si>
    <t>Mixed Gas MR (75% Ar + 25% C02)</t>
  </si>
  <si>
    <t>GS-0003</t>
  </si>
  <si>
    <t>Gas Karbonmonoksida 6 M3</t>
  </si>
  <si>
    <t>GS-0002</t>
  </si>
  <si>
    <t>Aceton 6 Kg</t>
  </si>
  <si>
    <t>Gas Nitrousoxide N2O 10m3</t>
  </si>
  <si>
    <t>Gas Oksigen 7 m3</t>
  </si>
  <si>
    <t>Gas Oksigen 6 m3</t>
  </si>
  <si>
    <t>Gas Oksigen 1 M3 - A</t>
  </si>
  <si>
    <t>Aceton 2 Kg GR</t>
  </si>
  <si>
    <t>GS-00-00-ACT-020-000</t>
  </si>
  <si>
    <t>Gas Udara Tekan 6 m3</t>
  </si>
  <si>
    <t>Gas Argon HP 7 M3</t>
  </si>
  <si>
    <t>Gas Argon WG 1.5 M3</t>
  </si>
  <si>
    <t>Gas Argon WG 1 M3</t>
  </si>
  <si>
    <t>Gas Nitrous Oxide 20 KG (6 M3)</t>
  </si>
  <si>
    <t>Gas Karbondioksida 5 KG (1,5 M3)</t>
  </si>
  <si>
    <t>Gas Helium UHP 6 M3</t>
  </si>
  <si>
    <t>Gas Karbondioksida 4 KG (1 M3)</t>
  </si>
  <si>
    <t>Gas Hydrogen HP 6 M3</t>
  </si>
  <si>
    <t>Gas Argon WG 6 M3</t>
  </si>
  <si>
    <t>Gas Karbondioksida 25 KG (6 M3)</t>
  </si>
  <si>
    <t>Gas Karbondioksida 25 KG (6 M3) GRMP</t>
  </si>
  <si>
    <t>Gas Argon WG 7 M3 GRMP</t>
  </si>
  <si>
    <t>Gas Argon WG 6 M3 GRMP</t>
  </si>
  <si>
    <t>Aceton 3kg GRMP</t>
  </si>
  <si>
    <t>GS-01-00-ACT-030-000</t>
  </si>
  <si>
    <t>Aceton 1.5kg GRMP</t>
  </si>
  <si>
    <t>GS-01-00-ACT-015-000</t>
  </si>
  <si>
    <t>Gas Oksigen 3 M3 GP</t>
  </si>
  <si>
    <t>Gas Oksigen 2 M3 GP</t>
  </si>
  <si>
    <t>Gas Nitrogen 3 M3 GP</t>
  </si>
  <si>
    <t>Gas Nitrogen 2 M3 GP</t>
  </si>
  <si>
    <t>Gas Nitrogen 10 M3 - 150 bar GP</t>
  </si>
  <si>
    <t>Gas Oksigen M3</t>
  </si>
  <si>
    <t>Gas Oksigen 1.5 M3 GP</t>
  </si>
  <si>
    <t>Gas Oksigen 7m3 WG GP</t>
  </si>
  <si>
    <t>Gas Oksigen UHP 6 M3 GP</t>
  </si>
  <si>
    <t>Gas Oksigen 1 M3 GP</t>
  </si>
  <si>
    <t>Gas Oksigen 0.5 M3 GP</t>
  </si>
  <si>
    <t>Gas Oksigen 6 m3 GP</t>
  </si>
  <si>
    <t>Gas Nitrogen 7 M3 GP</t>
  </si>
  <si>
    <t>Gas Nitrogen UHP 6 M3 GP</t>
  </si>
  <si>
    <t>Gas Nitrogen 6 M3 GP</t>
  </si>
  <si>
    <t>Gas Nitrogen 1.5 M3 GP</t>
  </si>
  <si>
    <t>Gas Nitrogen 0.5 M3 GP</t>
  </si>
  <si>
    <t>Gas Nitrogen 1 M3 GP</t>
  </si>
  <si>
    <t>Gas Nitrogen 7 M3 GPMP</t>
  </si>
  <si>
    <t>Gas Nitrogen 2 M3 GPMP</t>
  </si>
  <si>
    <t>Gas Nitrogen 10 M3 - 150 bar GPMP</t>
  </si>
  <si>
    <t>Gas Nitrogen 1.5 M3 GPMP</t>
  </si>
  <si>
    <t>Gas Nitrogen 0.5 M3 GPMP</t>
  </si>
  <si>
    <t>Gas Nitrogen 6 M3 GPMP</t>
  </si>
  <si>
    <t>Gas Oksigen 7 M3 GRMP</t>
  </si>
  <si>
    <t>Gas Oksigen 6 M3 GRMP</t>
  </si>
  <si>
    <t>Gas Oksigen 7m3 WG GPMP</t>
  </si>
  <si>
    <t>Gas Oksigen 1.5 M3 GPMP</t>
  </si>
  <si>
    <t>Gas Oksigen 6 m3 GPMP</t>
  </si>
  <si>
    <t>Gas Oksigen 2 M3 GPMP</t>
  </si>
  <si>
    <t>Gas Oksigen UHP 6 M3 GPMP</t>
  </si>
  <si>
    <t>Gas Oksigen 0.5 M3 GPMP</t>
  </si>
  <si>
    <t>Gas Oksigen 3 M3 GPMP</t>
  </si>
  <si>
    <t>Gas Nitrogen UHP 6 M3 GPMP</t>
  </si>
  <si>
    <t>Gas Oksigen 1 M3 GPMP</t>
  </si>
  <si>
    <t>Gas Udara Tekan 6m3 GP</t>
  </si>
  <si>
    <t>GS-06-MR-UT0-060-000</t>
  </si>
  <si>
    <t>Gas Udara Tekan 7m3 GP</t>
  </si>
  <si>
    <t>GS-06-MR-UT0-070-000</t>
  </si>
  <si>
    <t>Aksesoris</t>
  </si>
  <si>
    <t>Daftar Harga</t>
  </si>
  <si>
    <r>
      <t>Gas Carbondioxide CO2 6m3 (45Kg)</t>
    </r>
    <r>
      <rPr>
        <b/>
        <sz val="12"/>
        <rFont val="Carlito"/>
      </rPr>
      <t xml:space="preserve"> Food Grade</t>
    </r>
  </si>
  <si>
    <t>adany auhp lokal</t>
  </si>
  <si>
    <t>Ambient Air Vaporizer 30M3-35Bar</t>
  </si>
  <si>
    <t>Tabung Cryogenic Cylinder VGL Vol.175L - 23Bar Putih LIN Cradle</t>
  </si>
  <si>
    <t>Kran Carbondioxide QF-2A6 SV Lepasan</t>
  </si>
  <si>
    <t>Tutup Tabung Plastik Standar</t>
  </si>
  <si>
    <r>
      <t xml:space="preserve">Gas Oxygen 6 m3 </t>
    </r>
    <r>
      <rPr>
        <b/>
        <sz val="12"/>
        <rFont val="Carlito"/>
      </rPr>
      <t>UHP</t>
    </r>
    <r>
      <rPr>
        <sz val="12"/>
        <rFont val="Carlito"/>
      </rPr>
      <t xml:space="preserve">  (Import) + Tabung </t>
    </r>
  </si>
  <si>
    <t>SP-00-00-APT-000-CR0</t>
  </si>
  <si>
    <t>SP-00-UN-KRH-030-ORI</t>
  </si>
  <si>
    <t>AS-00-UN-AVP-300-035</t>
  </si>
  <si>
    <t>SP-00-00-KRC-0T1-000</t>
  </si>
  <si>
    <t>TR-00-TV-175-232-LIC</t>
  </si>
  <si>
    <t>Cradle Tabung VGL 175L 120Bar</t>
  </si>
  <si>
    <t>ABC Foam (APAR) Refill (9 L)</t>
  </si>
  <si>
    <t>ABC powder (APAR) refill (9 kg)</t>
  </si>
  <si>
    <t>Aceton 2Kg GRMR</t>
  </si>
  <si>
    <t>Aceton 3 kg GRMR</t>
  </si>
  <si>
    <t>Seal Teflon</t>
  </si>
  <si>
    <t>Tabung Gas Baru Vol.2M3 8Kg PA Putih QF-2A6 SV CO2  FG</t>
  </si>
  <si>
    <t>Tabung Gas Baru Vol.6M3 UC Biru QF-2A6 SV KS</t>
  </si>
  <si>
    <t>Tabung Gas Baru Vol.6M3 25Kg UC Biru QF-2A6 SV CO2 FG</t>
  </si>
  <si>
    <t>Tabung Gas Baru Vol.1,5M3 PA Putih QF-2G1 SV AR WG</t>
  </si>
  <si>
    <t>Tabung Gas Baru Vol.2M3 PA Putih QF-2A6 N2 WG GP</t>
  </si>
  <si>
    <t>Tabung Gas Baru Vol.1M3 PA Putih QF-2A6 SV N2 WG GP</t>
  </si>
  <si>
    <t>Tabung Gas Baru Vol.6M3 UC Biru QF-2G1 O2 GP Tutup Tulip Besi</t>
  </si>
  <si>
    <t>Tabung Cryogenic Cylinder VGL Vol.175L-23Bar Putih LOX Cradle 120</t>
  </si>
  <si>
    <t>Cryogenic Cylinder Vol.175L - 23Bar Putih LAR</t>
  </si>
  <si>
    <t>AS-00-00-CRD-175-120</t>
  </si>
  <si>
    <t>GS-00-FM-ABC-009-000</t>
  </si>
  <si>
    <t>GS-00-PW-ABC-009-000</t>
  </si>
  <si>
    <t>GS-02-00-ACT-020-000</t>
  </si>
  <si>
    <t>GS-02-00-ACT-030-000</t>
  </si>
  <si>
    <t>SP-00-00-ST-000-000</t>
  </si>
  <si>
    <t>SP-00-UN-KRK-2A6-ORI</t>
  </si>
  <si>
    <t>TR-00-TB-2AS-28P-COF</t>
  </si>
  <si>
    <t>TR-00-TB-2AS-60B-COK</t>
  </si>
  <si>
    <t>TR-00-TB-2AS-65B-COF</t>
  </si>
  <si>
    <t>TR-00-TB-2G1-015-SWG</t>
  </si>
  <si>
    <t>TR-01-TB-2A6-20P-N2W</t>
  </si>
  <si>
    <t>TR-01-TB-2AS-10P-N2W</t>
  </si>
  <si>
    <t>TR-01-TB-2G1-60B-OTB</t>
  </si>
  <si>
    <t>TV-00-UC-175-023-PLC</t>
  </si>
  <si>
    <t>TV-00-UC-LAR-172-PTH</t>
  </si>
  <si>
    <t>TR-01-TB-2GS-60B-UT0</t>
  </si>
  <si>
    <t>Tabung Gas Baru Vol.6M3 UC Biru QF-2G1 SV Udara Tekan GP</t>
  </si>
  <si>
    <t>TR-00-TB-F30-05P-H2W</t>
  </si>
  <si>
    <t>Tabung Gas Baru Vol.0,5M3 PA Putih QF-30 H2 WG</t>
  </si>
  <si>
    <t>GS-06-MR-O20-0M3-WG0</t>
  </si>
  <si>
    <t>TR-03-TB-2G1-060-O20</t>
  </si>
  <si>
    <t>Tabung Gas Baru Vol.6M3 PA Biru QF-2G1 O2 GR</t>
  </si>
  <si>
    <t>TR-00-TB-TKT-15C-200</t>
  </si>
  <si>
    <t>Tabung Gas Baru Vol. 10M3 50L-200Bar UC Cream Tanpa Kran Tutup Tulip</t>
  </si>
  <si>
    <t>TR-00-TB-TK0-60B-KS0</t>
  </si>
  <si>
    <t>Tabung Gas Baru Vol.6M3 YA Biru Tanpa Kran</t>
  </si>
  <si>
    <t>TR-01-TB-2G1-60B-N2W</t>
  </si>
  <si>
    <t>Tabung Gas Baru Vol.6M3 PA Biru QF-2G1 N2 WG GP</t>
  </si>
  <si>
    <t>AS-00-00-TPP-000-000</t>
  </si>
  <si>
    <t>Tutup Plastik Putih</t>
  </si>
  <si>
    <t>GS-04-MR-N20-070-UHP</t>
  </si>
  <si>
    <t>Gas Nitrogen UHP MR 7M3 GRMR</t>
  </si>
  <si>
    <t>GS-04-MR-N20-100-UHP</t>
  </si>
  <si>
    <t>Gas Nitrogen UHP MR 10M3 GRMR</t>
  </si>
  <si>
    <t>SP-00-UN-KRK-2A6-KLP</t>
  </si>
  <si>
    <t>Kran Carbondioxide QF-2A6 LP</t>
  </si>
  <si>
    <t>LQ-00-LN-000-000-000</t>
  </si>
  <si>
    <r>
      <t xml:space="preserve">Gas Carbondioxide CO2 30 Kg </t>
    </r>
    <r>
      <rPr>
        <b/>
        <sz val="12"/>
        <rFont val="Carlito"/>
      </rPr>
      <t>Food Grade</t>
    </r>
  </si>
  <si>
    <t>Opsi penggantian Kran Oxygen semua tipe yang terpasang 
ditabung dengan Kran Carbondioxide QF-2A6</t>
  </si>
  <si>
    <t>Opsi penggantian Kran Oxygen semua tipe yang terpasang
 ditabung dengan Kran QF-6B 200Bar</t>
  </si>
  <si>
    <t>Opsi penggantian Kran Oxygen/CO2 semua tipe yang terpasang 
di tabung dengan Kran Hidrogen QF-30</t>
  </si>
  <si>
    <t>Opsi penggantian Kran Oxygen/CO2 semua tipe yang terpasang 
di tabung dengan Kran Natural Gas QF-T1</t>
  </si>
  <si>
    <t>Opsi penggantian Kran Oxygen/CO2 semua tipe yang terpasang 
di tabung dengan Kran PX-35</t>
  </si>
  <si>
    <t>Opsi penggantian Kran Oxygen/CO2 yang terpasang 
di tabung dengan Kran Nitrous Oxide</t>
  </si>
  <si>
    <t>Opsi penggantian Kran Oxygen/CO2 yang terpasang 
di tabung dengan Kran Oxygen QF-2G1 SV Steri Valve</t>
  </si>
  <si>
    <t>Tabung 10 m3 (50L-200Bar) kran QF-6B</t>
  </si>
  <si>
    <t>Tabung Gas Baru Vol. 10M3 UC 50L - 200 Bar Putih AF-6B KS</t>
  </si>
  <si>
    <t>Tabung Gas Baru Vol. 10M3 UC 50L - 200 Bar Cream QF-6B</t>
  </si>
  <si>
    <t>TB-00-UC-F6B-105-CRM</t>
  </si>
  <si>
    <t>Tabung 10 m3 (50L-200Bar) kran QF-T1</t>
  </si>
  <si>
    <t>Tabung Gas Baru Vol.10 M3 50L-200Bar UC - Cream QF-T1 Tutup Tulip Cap</t>
  </si>
  <si>
    <t>TB-00-UC-FT1-105-CRM</t>
  </si>
  <si>
    <t>Tabung Gas Baru Vol.6 M3 UC - Putih QF-2G1 Tanpa Tutup KS</t>
  </si>
  <si>
    <t>Acetone 1 Kg</t>
  </si>
  <si>
    <t xml:space="preserve">Jasa pasang VGL </t>
  </si>
  <si>
    <t>Jasa pasang VGL</t>
  </si>
  <si>
    <r>
      <t xml:space="preserve">Gas Argon 10 m3 - 200 Bar </t>
    </r>
    <r>
      <rPr>
        <b/>
        <sz val="12"/>
        <rFont val="Carlito"/>
      </rPr>
      <t>HP</t>
    </r>
    <r>
      <rPr>
        <sz val="12"/>
        <rFont val="Carlito"/>
      </rPr>
      <t xml:space="preserve"> </t>
    </r>
  </si>
  <si>
    <t>Vaporizer 400M3-165Bar</t>
  </si>
  <si>
    <t>Vaporizer 450M3-165Bar</t>
  </si>
  <si>
    <t>Vaporizer 500M3-165Bar</t>
  </si>
  <si>
    <r>
      <t xml:space="preserve">Gas Acetylene </t>
    </r>
    <r>
      <rPr>
        <b/>
        <sz val="12"/>
        <rFont val="Carlito"/>
      </rPr>
      <t>WG</t>
    </r>
    <r>
      <rPr>
        <sz val="12"/>
        <rFont val="Carlito"/>
      </rPr>
      <t xml:space="preserve"> (2 kg)</t>
    </r>
  </si>
  <si>
    <r>
      <t xml:space="preserve">Gas Acetylene </t>
    </r>
    <r>
      <rPr>
        <b/>
        <sz val="12"/>
        <rFont val="Carlito"/>
      </rPr>
      <t>WG</t>
    </r>
    <r>
      <rPr>
        <sz val="12"/>
        <rFont val="Carlito"/>
      </rPr>
      <t xml:space="preserve"> (3 kg)</t>
    </r>
  </si>
  <si>
    <t>Gas Acetylene WG (2 kg) + Acetone 4Kg</t>
  </si>
  <si>
    <t>Gas Acetylene WG (2 kg)+ Aceton 5 Kg</t>
  </si>
  <si>
    <t>Gas Acetylene WG (3 kg) + Aceton 6 Kg</t>
  </si>
  <si>
    <t>Gas Acetylene UHP 4 Kg</t>
  </si>
  <si>
    <t xml:space="preserve">Gas Oxygen 1 M3 </t>
  </si>
  <si>
    <r>
      <t xml:space="preserve">Gas Hidrogen 1M3 </t>
    </r>
    <r>
      <rPr>
        <b/>
        <sz val="12"/>
        <rFont val="Carlito"/>
      </rPr>
      <t>WG</t>
    </r>
  </si>
  <si>
    <r>
      <t xml:space="preserve">Gas Argon 10 m3 </t>
    </r>
    <r>
      <rPr>
        <b/>
        <sz val="12"/>
        <rFont val="Carlito"/>
      </rPr>
      <t>UHP</t>
    </r>
    <r>
      <rPr>
        <sz val="12"/>
        <rFont val="Carlito"/>
      </rPr>
      <t xml:space="preserve">  (50L-200Bar)</t>
    </r>
  </si>
  <si>
    <t>Roda Cradle</t>
  </si>
  <si>
    <r>
      <t xml:space="preserve">Gas Acetylene </t>
    </r>
    <r>
      <rPr>
        <b/>
        <sz val="12"/>
        <rFont val="Carlito"/>
      </rPr>
      <t>WG</t>
    </r>
    <r>
      <rPr>
        <sz val="12"/>
        <rFont val="Carlito"/>
      </rPr>
      <t xml:space="preserve"> (4 kg)</t>
    </r>
  </si>
  <si>
    <r>
      <t xml:space="preserve">Gas Acetylene </t>
    </r>
    <r>
      <rPr>
        <b/>
        <sz val="12"/>
        <rFont val="Carlito"/>
      </rPr>
      <t>WG</t>
    </r>
    <r>
      <rPr>
        <sz val="12"/>
        <rFont val="Carlito"/>
      </rPr>
      <t xml:space="preserve"> (5 kg)</t>
    </r>
  </si>
  <si>
    <r>
      <t xml:space="preserve">Gas Acetylene </t>
    </r>
    <r>
      <rPr>
        <b/>
        <sz val="12"/>
        <rFont val="Carlito"/>
      </rPr>
      <t>WG</t>
    </r>
    <r>
      <rPr>
        <sz val="12"/>
        <rFont val="Carlito"/>
      </rPr>
      <t xml:space="preserve"> (6 kg)</t>
    </r>
  </si>
  <si>
    <t>Cryogenic Pump 300L-600L/h</t>
  </si>
  <si>
    <t>SP-00-000-CRP-000-000</t>
  </si>
  <si>
    <t>Cryogenic Tank 10M3-16Bar</t>
  </si>
  <si>
    <t>TV-00-UC-10M-016-PTH</t>
  </si>
  <si>
    <t>Air Ambient Vaporizer 500M3-165Bar</t>
  </si>
  <si>
    <t>AS-00-UN-AVP-500-165</t>
  </si>
  <si>
    <t>Storage Tanki 10M3-16Bar</t>
  </si>
  <si>
    <t>Storage Tanki 15M3-16Bar</t>
  </si>
  <si>
    <t>Transport Tanki 10M3-16Bar</t>
  </si>
  <si>
    <t>Storage Tanki 3M3-16Bar</t>
  </si>
  <si>
    <t>Storage Tanki 5M3-16Bar</t>
  </si>
  <si>
    <t>Vaporizer 1000M3-35Bar</t>
  </si>
  <si>
    <t>Vaporizer 1000M3-35Bar lengkap cradle</t>
  </si>
  <si>
    <t>Storage Tank LCO2 20M3</t>
  </si>
  <si>
    <t>Storage Tanki 20M3-16Bar</t>
  </si>
  <si>
    <t>Micro Bulk Tank 4M3 - 16Bar</t>
  </si>
  <si>
    <t>TR-01-TB-2GS-O20-000/TR-03-TB-2GS-O20-000</t>
  </si>
  <si>
    <t>TR-01-TB-2GS-010-O20/TR-03-TB-2GS-010-O20</t>
  </si>
  <si>
    <t>TR-00-TB-2G1-15P-KS0</t>
  </si>
  <si>
    <t>TR-01-TB-2GS-PP2-O20/TR-03-TB-2GS-PP2-O20</t>
  </si>
  <si>
    <t>TR-01-TB-2GS-000-O20/TR-03-TB-2GS-000-O20</t>
  </si>
  <si>
    <t>TR-00-TB-2G1-60B-KS0</t>
  </si>
  <si>
    <t>TR-00-TB-2GS-60B-KS0</t>
  </si>
  <si>
    <t>TH-00-UC-500-025-PCL</t>
  </si>
  <si>
    <t>TV-00-UC-500-024-PTH</t>
  </si>
  <si>
    <t>AS-00-UN-AVP-400-165</t>
  </si>
  <si>
    <t>AS-00-UN-AVP-450-165</t>
  </si>
  <si>
    <t>AS-00-UN-AVP-100-036</t>
  </si>
  <si>
    <t>AS-00-UN-AVP-1000-35C</t>
  </si>
  <si>
    <t>ST-00-UC-030-016-000</t>
  </si>
  <si>
    <t>ST-00-UC-050-016-000</t>
  </si>
  <si>
    <t>ST-00-UC-150-016-000</t>
  </si>
  <si>
    <t>ST-00-UC-200-016-000</t>
  </si>
  <si>
    <t>ST-00-UC-200-000-LCO</t>
  </si>
  <si>
    <t>ST-00-UC-100-016-TT0</t>
  </si>
  <si>
    <t>ST-00-UC-040-016-MBT</t>
  </si>
  <si>
    <t>HARGA TERENDAH
INCLUDE PPN</t>
  </si>
  <si>
    <t>HARGA TERENDAH
EXCLUDE PPN</t>
  </si>
  <si>
    <t>KODE BARANG</t>
  </si>
  <si>
    <t>GS-05-MR-ACY-2KG-WG0</t>
  </si>
  <si>
    <t>GS-00-00-ACY-020-WG0</t>
  </si>
  <si>
    <t>GS-00-00-ACY-030-WG0</t>
  </si>
  <si>
    <t>SP-00-000-CPP-000-005</t>
  </si>
  <si>
    <t>SP-00-000-CPP-000-006</t>
  </si>
  <si>
    <t>SP-00-000-CPP-000-007</t>
  </si>
  <si>
    <t>SP-00-00-RD-000-000</t>
  </si>
  <si>
    <t>Micro Bulk Tank 3M3 - 16Bar</t>
  </si>
  <si>
    <t>Micro Bulk Tank 5M3 - 16Bar</t>
  </si>
  <si>
    <t>ISO Tank 20M3 - 16Bar</t>
  </si>
  <si>
    <t xml:space="preserve">Jasa pasang Kran </t>
  </si>
  <si>
    <t>Liquid Nitrogen 35L Dewar</t>
  </si>
  <si>
    <t>Gas Nitrousoxide N2O 1m3  (3-4Kg)</t>
  </si>
  <si>
    <t>TR-00-TB-2G1-20P-AWG</t>
  </si>
  <si>
    <t>Tabung Gas Baru Vol.2M3 PA Putih QF-2G1 SV ARWG Tutup Tulip Baja</t>
  </si>
  <si>
    <t>TR-00-TB-2GS-20P-OGP</t>
  </si>
  <si>
    <t>Tabung Gas Baru Vol.2M3 PA Putih QF-2G1 SV O2 GP Tutup Tulip Baja</t>
  </si>
  <si>
    <t>TR-00-TB-2A6-PB6-25F</t>
  </si>
  <si>
    <t>Tabung Gas Baru Vol.6 m3 PA - Biru QF 2A6 CO2 25KG FG</t>
  </si>
  <si>
    <t>TR-03-TB-2G1-PP6-O20</t>
  </si>
  <si>
    <t>Tabung Gas Baru Vol.6 M3 PA Putih QF-2G1 O2 GR</t>
  </si>
  <si>
    <t>TB-00-PA-2G1-060-BRU</t>
  </si>
  <si>
    <t>Tabung Gas Baru Vol.6M3 PA Biru QF-2G1</t>
  </si>
  <si>
    <t>TR-00-TB-2G1-PB6-ARW</t>
  </si>
  <si>
    <t>Tabung Gas Baru Vol.6M3 PA Biru QF-2G1 AR WG</t>
  </si>
  <si>
    <t>TR-01-TB-2G1-60B-O20</t>
  </si>
  <si>
    <t>Tabung Gas Baru Vol.6M3 PA Biru QF-2G1 O2 GP</t>
  </si>
  <si>
    <t>TR-01-TB-2GS-60B-N2W</t>
  </si>
  <si>
    <t>Tabung Gas Baru Vol.6M3 PA Biru QF-2G1 SV N2 WG GP</t>
  </si>
  <si>
    <t>SS-00-000-000-091</t>
  </si>
  <si>
    <t>Jasa Pasang Valve</t>
  </si>
  <si>
    <t>TR-00-TO-2A6-620-CFG</t>
  </si>
  <si>
    <t>Tabung Gas Baru Vol.6 m3 PA Biru QF-2A6 CO2 20 KG FG GR</t>
  </si>
  <si>
    <t>Storage Tank LCO2 10M3 (Inner carbon steel)</t>
  </si>
  <si>
    <t>Storage Tank LCO2 10M3 (Inner stainless steel)</t>
  </si>
  <si>
    <t>As Pen Sok</t>
  </si>
  <si>
    <t>Bunit Sok Nilon Hitam</t>
  </si>
  <si>
    <t>SP-00-00-APS-000-000</t>
  </si>
  <si>
    <t>SP-00-00-BSN-HTM-000</t>
  </si>
  <si>
    <r>
      <t xml:space="preserve">Gas Nitrogen 1 m3, 1,5 m3, 2 m3 </t>
    </r>
    <r>
      <rPr>
        <b/>
        <sz val="12"/>
        <rFont val="Carlito"/>
      </rPr>
      <t>UHP</t>
    </r>
  </si>
  <si>
    <t>Tabung 6 m3 PURE AIR QF-2G1 kosong</t>
  </si>
  <si>
    <t>Tabung 6 m3 PURE AIR QF-2G1 SV kosong</t>
  </si>
  <si>
    <t>Vaporizer 200M3-165Bar</t>
  </si>
  <si>
    <r>
      <t xml:space="preserve">Gas Argon 7 m3 </t>
    </r>
    <r>
      <rPr>
        <b/>
        <sz val="12"/>
        <rFont val="Carlito"/>
      </rPr>
      <t>UHP</t>
    </r>
  </si>
  <si>
    <r>
      <t xml:space="preserve">Gas Argon 8 m3 </t>
    </r>
    <r>
      <rPr>
        <b/>
        <sz val="12"/>
        <rFont val="Carlito"/>
      </rPr>
      <t>UHP</t>
    </r>
  </si>
  <si>
    <r>
      <t xml:space="preserve">Gas Argon 6 m3 </t>
    </r>
    <r>
      <rPr>
        <b/>
        <sz val="12"/>
        <rFont val="Carlito"/>
      </rPr>
      <t>UHP</t>
    </r>
  </si>
  <si>
    <t xml:space="preserve">Safety Valve/Plat pengaman </t>
  </si>
  <si>
    <t>Cradle Tabung VGL 175L-120L</t>
  </si>
  <si>
    <t xml:space="preserve">Cradle Tabung/rack 16 tanpa manifold </t>
  </si>
  <si>
    <t xml:space="preserve">Cradle Tabung/rack 16 dengan manifold </t>
  </si>
  <si>
    <t>Regulator Gas Oksigen Hexa</t>
  </si>
  <si>
    <t>Konektor Kran VGL Double Drat</t>
  </si>
  <si>
    <t>Gas CNG 10 m3</t>
  </si>
  <si>
    <t>Opsi penggantian Kran QF-T1 semua tipe yang terpasang 
di tabung dengan Kran QF-6B 200Bar</t>
  </si>
  <si>
    <t>TR-00-TB-2G1-60P-KSO</t>
  </si>
  <si>
    <t>Tabung Gas Baru Vol.6 M3 PA Putih QF-2G1 KS</t>
  </si>
  <si>
    <t>TR-00-TB-2G1-060-OGP</t>
  </si>
  <si>
    <t>Tabung Gas Baru Vol.6m3 PA Putih QF-2G1 O2 GP</t>
  </si>
  <si>
    <t>TR-00-TB-AG1-60P-UTG</t>
  </si>
  <si>
    <t>Tabung Gas Baru Vol. 6m3 Pa Putih QF-2G1 Udara Tekan GP</t>
  </si>
  <si>
    <t>Tabung Acetylene 40L UC Maroon PF5-1 Acetylene WG 3 KG + Aceton 4 KG</t>
  </si>
  <si>
    <t>TR-01-TB-2G1-60B-O2U</t>
  </si>
  <si>
    <t>Tabung Gas Baru Vol.6m3 Pa Biru QF-2G1 O2 UHP GP</t>
  </si>
  <si>
    <t>TR-00-TB-F3B-20P-KS0</t>
  </si>
  <si>
    <t>Tabung Gas Baru Vol.2M3 PA Putih QF-30 Tutup Tulip Baja KS</t>
  </si>
  <si>
    <t>TR-00-TB-2GS-020-OGR</t>
  </si>
  <si>
    <t>Tabung Gas Baru Vol.2M3 PA Putih QF-2G1 SV O2 GR Tutup Tulip Baja</t>
  </si>
  <si>
    <t>TR-00-TB-2G1-60B-AGR</t>
  </si>
  <si>
    <t>Tabung Gas Baru Vol.6M3 PA Biru QF-2G1 Ar UHP GR</t>
  </si>
  <si>
    <t>TR-00-TB-2G1-60B-N2G</t>
  </si>
  <si>
    <t>Tabung Gas Baru Vol.6M3 PA Biru QF-2G1 N2 WG GR</t>
  </si>
  <si>
    <t>TR-00-TB-2AS-020-CFG</t>
  </si>
  <si>
    <t>Tabung Gas Baru Vol.2M3 PA Putih QF 2A6 CO2 8Kg FG GR Tutup Tulip Baja</t>
  </si>
  <si>
    <t>TB-00-UC-FT1-152-CRM</t>
  </si>
  <si>
    <t>Tabung Gas Baru Vol.10 M3 50L-200Bar UC Cream QF-T1</t>
  </si>
  <si>
    <t>TR-00-TO-2A6-07A-KSO</t>
  </si>
  <si>
    <t>Tabung Gas Baru CO2 7L PA Abu QF-2A6 KS</t>
  </si>
  <si>
    <t>TR-00-TB-2GS-20P-KS0</t>
  </si>
  <si>
    <t>Tabung Gas Baru Vol.2M3 PA Putih QF-2G1 SV Tutup Tulip Baja KS</t>
  </si>
  <si>
    <t>TR-00-TB-2GS-020-NWG</t>
  </si>
  <si>
    <t>Tabung Gas Baru Vol.2M3 PA Putih QF-2G1 SV N2 WG GP Tutup Tulip Baja</t>
  </si>
  <si>
    <t>TB-00-PA-2G1-060-BTB</t>
  </si>
  <si>
    <t>Tabung Gas Baru Vol.6 M3 PA Biru QF-2G1 Tutup Tulip Baja</t>
  </si>
  <si>
    <t>TR-00-TB-2A6-060-000</t>
  </si>
  <si>
    <t>Tabung Gas Baru Vol.6 M3 PA Biru QF-2A6 KS</t>
  </si>
  <si>
    <t>TR-00-TB-F6B-15C-TTC</t>
  </si>
  <si>
    <t>Tabung Gas Baru Vol.10 M3 50L-200Bar UC - Cream QF-6B Tutup Tulip Cap</t>
  </si>
  <si>
    <t>TR-01-TB-2A6-UM6-CFG</t>
  </si>
  <si>
    <t>Tabung Gas Baru Vol.10M3 68L UC Merah QF-2A6 CO2 45KG FG</t>
  </si>
  <si>
    <t>TR-01-TB-2G1-UC5-N20</t>
  </si>
  <si>
    <t>Tabung Gas Baru Vol.10M3 50L UC Cream QF-2G1 N2 WG GP</t>
  </si>
  <si>
    <t>TR-01-TB-2G1-60B-NTB</t>
  </si>
  <si>
    <t>Tabung Gas Baru Vol.6M3 PA Biru QF-2G1 N2 GP Tutup Tulip Baja</t>
  </si>
  <si>
    <t>TR-00-TB-QF6-152-KS0</t>
  </si>
  <si>
    <t>Tabung Gas Baru Vol.10M3 50L 200Bar UC Cream QF-6B KS</t>
  </si>
  <si>
    <t>TR-00-TA-CY2-AC2-WG0</t>
  </si>
  <si>
    <t>Tabung Acetylene 40L UC Maroon PF5-1 Acetylene WG 2kg + Aceton 2Kg</t>
  </si>
  <si>
    <t>AK-00-HX-REO-000-001</t>
  </si>
  <si>
    <t>Regulator Medis Oksigen Hexa</t>
  </si>
  <si>
    <t>TR-00-TB-A26-52M-KS0</t>
  </si>
  <si>
    <t>Tabung Gas Baru Vol.10M3 50L-200Bar UC Merah QF-2A6 KS</t>
  </si>
  <si>
    <t>TR-00-PA-2AS-740-CO2</t>
  </si>
  <si>
    <t>Tabung Gas Baru CO2 7L PA Abu QF-2A6 SV CO2 4KG FG</t>
  </si>
  <si>
    <t>TR-00-TB-2AS-05P-CFG</t>
  </si>
  <si>
    <t>Tabung Gas Baru Vol.0,5M3 PA Putih QF 2A6 SV CO2 2kg FG</t>
  </si>
  <si>
    <t>TR-00-TB-F30-60B-0KS</t>
  </si>
  <si>
    <t>Tabung Gas Baru Vol.6M3 PA Biru QF-30 KS</t>
  </si>
  <si>
    <t>TR-03-TB-F30-PM2-UHP</t>
  </si>
  <si>
    <t>Tabung Gas Baru Vol.2M3 PA Merah QF-30 H2 UHP GR</t>
  </si>
  <si>
    <t>TO-00-PA-2AS-700-ABU</t>
  </si>
  <si>
    <t>Tabung Gas Karbondioksida Vol.7L PA Abu QF-2A6 SV</t>
  </si>
  <si>
    <t>Gas oksigen 7 m3 GP</t>
  </si>
  <si>
    <t>GS-05-MR-O20-075-000</t>
  </si>
  <si>
    <t>Gas Oksigen 7.5 m3 GP</t>
  </si>
  <si>
    <t>Gas Oksigen 10 M3 GP</t>
  </si>
  <si>
    <t>SP-00-00-BBB-000-000</t>
  </si>
  <si>
    <t>As pen BBB</t>
  </si>
  <si>
    <t>GS-02-00-ACY-010-UHP</t>
  </si>
  <si>
    <t>Gas Acetylene UHP 3Kg + Aceton 1Kg GRMR</t>
  </si>
  <si>
    <t>SP-00-00-BNT-2G3-075</t>
  </si>
  <si>
    <t>Bunit QF-2G3 (7.5M3)</t>
  </si>
  <si>
    <t>GS-06-MR-N20-100-GP0</t>
  </si>
  <si>
    <t>Gas Nitrogen 10M3 GP</t>
  </si>
  <si>
    <t>GS-02-00-ARG-080-UHP</t>
  </si>
  <si>
    <t>Gas Argon 8m3 UHP GRMR</t>
  </si>
  <si>
    <t>SP-00-00-KKV-VGL-000</t>
  </si>
  <si>
    <t>Konektor kran VGL double drat</t>
  </si>
  <si>
    <t>As Pen PBB</t>
  </si>
  <si>
    <t>Mur Handwheel</t>
  </si>
  <si>
    <t>Per Handwheel</t>
  </si>
  <si>
    <t>SP-00-00-MUR-000-000</t>
  </si>
  <si>
    <t>SP-00-00-PER-000-000</t>
  </si>
  <si>
    <t>Tabung Cryogenic Cylinder VGL Vol.175L - 23Bar Putih Liquid Level digital</t>
  </si>
  <si>
    <t>ISO Tank 20M3 - 22Bar w/pump</t>
  </si>
  <si>
    <t xml:space="preserve">Liquid Carbondioxide 175L </t>
  </si>
  <si>
    <r>
      <t xml:space="preserve">Tabung 7 m3 PURE AIR QF-2G1 kosong </t>
    </r>
    <r>
      <rPr>
        <b/>
        <sz val="12"/>
        <rFont val="Carlito"/>
      </rPr>
      <t>(</t>
    </r>
    <r>
      <rPr>
        <b/>
        <i/>
        <sz val="12"/>
        <rFont val="Carlito"/>
      </rPr>
      <t>Indent 1,5 Bulan)</t>
    </r>
  </si>
  <si>
    <t>TR-00-TA-CY3-CT4-WG0</t>
  </si>
  <si>
    <t>Tabung Gas Baru Vol.6M3 PA Biru QF-2G1 N2 HP GP</t>
  </si>
  <si>
    <t>TR-00-TB-2G1-60B-NGP</t>
  </si>
  <si>
    <t>TR-01-TB-2G1-60B-OHP</t>
  </si>
  <si>
    <t>Tabung Gas Baru Vol.6m3  PA Biru QF-2G1 O2 HP GP</t>
  </si>
  <si>
    <t>Tabung Cryogenic Cylinder VGL Vol.175L-23Bar Putih LOX</t>
  </si>
  <si>
    <t>TR-00-TV-175-23B-LOX</t>
  </si>
  <si>
    <t>Tabung Gas Baru Vol.6M3 PA Biru QF-2G1 N2 UHP GR</t>
  </si>
  <si>
    <t>TR-00-TB-2G1-60B-NGR</t>
  </si>
  <si>
    <t>Tabung Cryogenic Cylinder VGL Vol.175L-35Bar Putih LOX</t>
  </si>
  <si>
    <t>TR-00-TV-175-35B-LOX</t>
  </si>
  <si>
    <t>Tabung Gas Baru Vol.6M3 PA-Putih QF-2G1 N2 WG GP</t>
  </si>
  <si>
    <t>TR-01-TB-2G1-60P-N2W</t>
  </si>
  <si>
    <t>Tabung Gas Baru Vol.6 m3 PA Biru QF-2A6 N2O 25 kg GR</t>
  </si>
  <si>
    <t>TR-00-TB-2A6-625-NGR</t>
  </si>
  <si>
    <t>LQ-00-LN-350-000-000</t>
  </si>
  <si>
    <t>LQ-00-LN-100-000-000</t>
  </si>
  <si>
    <t>Jasa Tes Tabung - Sub</t>
  </si>
  <si>
    <t>SS-00-000-000-095</t>
  </si>
  <si>
    <t>Kran CNG QF-T1 LP</t>
  </si>
  <si>
    <t>SP-00-00-KRC-0T1-KLP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</si>
</sst>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[$-F800]dddd\,\ mmmm\ dd\,\ yyyy"/>
  </numFmts>
  <fonts count="51"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4"/>
      <name val="Carlito"/>
    </font>
    <font>
      <b/>
      <sz val="12"/>
      <name val="Carlito"/>
    </font>
    <font>
      <b/>
      <i/>
      <sz val="12"/>
      <name val="Carlito"/>
    </font>
    <font>
      <sz val="12"/>
      <name val="Carlito"/>
    </font>
    <font>
      <sz val="12"/>
      <color theme="0"/>
      <name val="Carlito"/>
    </font>
    <font>
      <sz val="11"/>
      <color theme="0"/>
      <name val="Calibri"/>
      <family val="2"/>
    </font>
    <font>
      <sz val="11"/>
      <name val="Calibri"/>
      <family val="2"/>
    </font>
    <font>
      <sz val="12"/>
      <color rgb="FFFF0000"/>
      <name val="Carlito"/>
    </font>
    <font>
      <sz val="10"/>
      <color rgb="FFFFFFFF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3366"/>
      <name val="Arial"/>
      <family val="2"/>
    </font>
    <font>
      <i/>
      <sz val="7"/>
      <color rgb="FF000000"/>
      <name val="Arial"/>
      <family val="2"/>
    </font>
    <font>
      <sz val="11"/>
      <color rgb="FF000000"/>
      <name val="Courier"/>
      <family val="2"/>
    </font>
    <font>
      <b/>
      <sz val="18"/>
      <color rgb="FF990033"/>
      <name val="Arial"/>
      <family val="2"/>
    </font>
    <font>
      <sz val="12"/>
      <color rgb="FF000000"/>
      <name val="Courier"/>
      <family val="2"/>
    </font>
    <font>
      <b/>
      <sz val="9"/>
      <color rgb="FF000000"/>
      <name val="Arial"/>
      <family val="2"/>
    </font>
    <font>
      <b/>
      <sz val="10"/>
      <color rgb="FF002060"/>
      <name val="Arial"/>
      <family val="2"/>
    </font>
    <font>
      <sz val="10"/>
      <color theme="1"/>
      <name val="Calibri"/>
      <family val="2"/>
      <scheme val="minor"/>
    </font>
    <font>
      <b/>
      <sz val="10"/>
      <color rgb="FF003366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9"/>
      <name val="Arial"/>
      <family val="2"/>
    </font>
    <font>
      <sz val="12"/>
      <color theme="1"/>
      <name val="Carlito"/>
    </font>
    <font>
      <sz val="10"/>
      <name val="Arial"/>
      <family val="2"/>
    </font>
    <font>
      <sz val="10"/>
      <name val="Verdana"/>
      <family val="2"/>
    </font>
    <font>
      <b/>
      <sz val="12"/>
      <color theme="1"/>
      <name val="Carlito"/>
    </font>
    <font>
      <b/>
      <i/>
      <sz val="12"/>
      <color theme="1"/>
      <name val="Carlito"/>
    </font>
    <font>
      <b/>
      <sz val="9"/>
      <color indexed="81"/>
      <name val="Tahoma"/>
      <family val="2"/>
    </font>
    <font>
      <sz val="10"/>
      <color rgb="FF000000"/>
      <name val="Segoe UI"/>
      <family val="2"/>
    </font>
    <font>
      <sz val="1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DDD8C3"/>
      </patternFill>
    </fill>
    <fill>
      <patternFill patternType="solid">
        <fgColor rgb="FF000000"/>
        <bgColor rgb="FF003300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/>
      <top/>
      <bottom style="thin">
        <color rgb="FF003366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8">
    <xf numFmtId="0" fontId="0" fillId="0" borderId="0"/>
    <xf numFmtId="0" fontId="17" fillId="0" borderId="0"/>
    <xf numFmtId="0" fontId="16" fillId="0" borderId="0"/>
    <xf numFmtId="41" fontId="24" fillId="0" borderId="0" applyFont="0" applyFill="0" applyBorder="0" applyAlignment="0" applyProtection="0"/>
    <xf numFmtId="0" fontId="15" fillId="0" borderId="0"/>
    <xf numFmtId="0" fontId="12" fillId="0" borderId="0"/>
    <xf numFmtId="41" fontId="24" fillId="0" borderId="0" applyFont="0" applyFill="0" applyBorder="0" applyAlignment="0" applyProtection="0"/>
    <xf numFmtId="0" fontId="12" fillId="0" borderId="0"/>
  </cellStyleXfs>
  <cellXfs count="154">
    <xf numFmtId="0" fontId="0" fillId="0" borderId="0" xfId="0"/>
    <xf numFmtId="0" fontId="21" fillId="0" borderId="0" xfId="1" applyFont="1" applyAlignment="1">
      <alignment horizontal="left" vertical="top" wrapText="1"/>
    </xf>
    <xf numFmtId="0" fontId="21" fillId="0" borderId="1" xfId="1" applyFont="1" applyBorder="1" applyAlignment="1">
      <alignment horizontal="left" vertical="top" wrapText="1"/>
    </xf>
    <xf numFmtId="0" fontId="20" fillId="0" borderId="0" xfId="1" applyFont="1" applyAlignment="1">
      <alignment vertical="top" wrapText="1"/>
    </xf>
    <xf numFmtId="0" fontId="21" fillId="0" borderId="1" xfId="1" applyFont="1" applyBorder="1" applyAlignment="1">
      <alignment vertical="top" wrapText="1"/>
    </xf>
    <xf numFmtId="0" fontId="21" fillId="0" borderId="1" xfId="1" applyFont="1" applyBorder="1" applyAlignment="1">
      <alignment horizontal="left" vertical="top"/>
    </xf>
    <xf numFmtId="0" fontId="21" fillId="0" borderId="1" xfId="1" applyFont="1" applyBorder="1" applyAlignment="1">
      <alignment horizontal="center" vertical="top" wrapText="1"/>
    </xf>
    <xf numFmtId="0" fontId="21" fillId="0" borderId="1" xfId="0" applyFont="1" applyBorder="1" applyAlignment="1">
      <alignment vertical="top"/>
    </xf>
    <xf numFmtId="0" fontId="21" fillId="0" borderId="0" xfId="1" applyFont="1" applyAlignment="1">
      <alignment horizontal="left" vertical="top"/>
    </xf>
    <xf numFmtId="1" fontId="21" fillId="0" borderId="1" xfId="1" applyNumberFormat="1" applyFont="1" applyBorder="1" applyAlignment="1">
      <alignment horizontal="center" vertical="top" shrinkToFit="1"/>
    </xf>
    <xf numFmtId="1" fontId="21" fillId="0" borderId="0" xfId="1" applyNumberFormat="1" applyFont="1" applyAlignment="1">
      <alignment horizontal="center" vertical="top" shrinkToFit="1"/>
    </xf>
    <xf numFmtId="1" fontId="21" fillId="0" borderId="0" xfId="1" applyNumberFormat="1" applyFont="1" applyAlignment="1">
      <alignment horizontal="left" vertical="top"/>
    </xf>
    <xf numFmtId="0" fontId="21" fillId="0" borderId="1" xfId="0" applyFont="1" applyBorder="1"/>
    <xf numFmtId="0" fontId="22" fillId="0" borderId="0" xfId="1" applyFont="1" applyAlignment="1">
      <alignment horizontal="left" vertical="top"/>
    </xf>
    <xf numFmtId="0" fontId="23" fillId="0" borderId="0" xfId="0" applyFont="1"/>
    <xf numFmtId="0" fontId="21" fillId="0" borderId="1" xfId="0" applyFont="1" applyBorder="1" applyAlignment="1">
      <alignment horizontal="left" vertical="top"/>
    </xf>
    <xf numFmtId="0" fontId="26" fillId="4" borderId="0" xfId="0" applyFont="1" applyFill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horizontal="center"/>
    </xf>
    <xf numFmtId="0" fontId="28" fillId="0" borderId="0" xfId="0" applyFont="1"/>
    <xf numFmtId="3" fontId="27" fillId="0" borderId="0" xfId="0" applyNumberFormat="1" applyFont="1"/>
    <xf numFmtId="41" fontId="26" fillId="4" borderId="0" xfId="3" applyFont="1" applyFill="1" applyAlignment="1">
      <alignment horizontal="center" vertical="center"/>
    </xf>
    <xf numFmtId="41" fontId="27" fillId="0" borderId="0" xfId="3" applyFont="1"/>
    <xf numFmtId="0" fontId="19" fillId="3" borderId="1" xfId="1" applyFont="1" applyFill="1" applyBorder="1" applyAlignment="1">
      <alignment vertical="top" wrapText="1"/>
    </xf>
    <xf numFmtId="0" fontId="21" fillId="0" borderId="1" xfId="0" applyFont="1" applyBorder="1" applyAlignment="1">
      <alignment vertical="center"/>
    </xf>
    <xf numFmtId="0" fontId="15" fillId="0" borderId="0" xfId="4"/>
    <xf numFmtId="0" fontId="15" fillId="0" borderId="0" xfId="4" applyAlignment="1" applyProtection="1">
      <alignment wrapText="1"/>
      <protection locked="0"/>
    </xf>
    <xf numFmtId="0" fontId="29" fillId="0" borderId="0" xfId="4" applyFont="1" applyAlignment="1">
      <alignment horizontal="left" vertical="top" wrapText="1"/>
    </xf>
    <xf numFmtId="0" fontId="30" fillId="0" borderId="8" xfId="4" applyFont="1" applyBorder="1" applyAlignment="1">
      <alignment horizontal="center" vertical="center" wrapText="1"/>
    </xf>
    <xf numFmtId="0" fontId="37" fillId="0" borderId="0" xfId="4" applyFont="1" applyAlignment="1" applyProtection="1">
      <alignment wrapText="1"/>
      <protection locked="0"/>
    </xf>
    <xf numFmtId="0" fontId="38" fillId="0" borderId="8" xfId="4" applyFont="1" applyBorder="1" applyAlignment="1">
      <alignment horizontal="left" vertical="top" wrapText="1"/>
    </xf>
    <xf numFmtId="0" fontId="37" fillId="0" borderId="9" xfId="4" applyFont="1" applyBorder="1" applyAlignment="1" applyProtection="1">
      <alignment wrapText="1"/>
      <protection locked="0"/>
    </xf>
    <xf numFmtId="0" fontId="40" fillId="0" borderId="9" xfId="4" applyFont="1" applyBorder="1" applyAlignment="1" applyProtection="1">
      <alignment horizontal="center" vertical="center" wrapText="1"/>
      <protection locked="0"/>
    </xf>
    <xf numFmtId="41" fontId="36" fillId="0" borderId="9" xfId="3" applyFont="1" applyFill="1" applyBorder="1" applyAlignment="1" applyProtection="1">
      <alignment horizontal="center" vertical="center" wrapText="1"/>
      <protection locked="0"/>
    </xf>
    <xf numFmtId="41" fontId="15" fillId="0" borderId="0" xfId="3" applyFont="1" applyFill="1" applyBorder="1" applyAlignment="1" applyProtection="1">
      <alignment vertical="center" wrapText="1"/>
      <protection locked="0"/>
    </xf>
    <xf numFmtId="41" fontId="15" fillId="0" borderId="0" xfId="3" applyFont="1" applyAlignment="1">
      <alignment vertical="center"/>
    </xf>
    <xf numFmtId="41" fontId="14" fillId="0" borderId="0" xfId="3" applyFont="1" applyFill="1" applyBorder="1" applyAlignment="1" applyProtection="1">
      <alignment vertical="center" wrapText="1"/>
      <protection locked="0"/>
    </xf>
    <xf numFmtId="0" fontId="15" fillId="0" borderId="0" xfId="4" applyProtection="1">
      <protection locked="0"/>
    </xf>
    <xf numFmtId="0" fontId="35" fillId="0" borderId="0" xfId="4" applyFont="1" applyAlignment="1">
      <alignment vertical="top" wrapText="1"/>
    </xf>
    <xf numFmtId="0" fontId="32" fillId="0" borderId="0" xfId="4" applyFont="1" applyAlignment="1">
      <alignment vertical="top" wrapText="1"/>
    </xf>
    <xf numFmtId="0" fontId="33" fillId="0" borderId="0" xfId="4" applyFont="1" applyAlignment="1">
      <alignment vertical="top" wrapText="1"/>
    </xf>
    <xf numFmtId="0" fontId="34" fillId="0" borderId="0" xfId="4" applyFont="1" applyAlignment="1">
      <alignment vertical="top" wrapText="1"/>
    </xf>
    <xf numFmtId="0" fontId="39" fillId="0" borderId="9" xfId="4" applyFont="1" applyBorder="1" applyAlignment="1">
      <alignment vertical="top" wrapText="1"/>
    </xf>
    <xf numFmtId="41" fontId="21" fillId="0" borderId="1" xfId="3" applyFont="1" applyFill="1" applyBorder="1" applyAlignment="1">
      <alignment horizontal="right" vertical="top"/>
    </xf>
    <xf numFmtId="0" fontId="13" fillId="0" borderId="0" xfId="4" applyFont="1" applyProtection="1">
      <protection locked="0"/>
    </xf>
    <xf numFmtId="0" fontId="19" fillId="3" borderId="1" xfId="1" applyFont="1" applyFill="1" applyBorder="1" applyAlignment="1">
      <alignment horizontal="center" vertical="top" wrapText="1"/>
    </xf>
    <xf numFmtId="0" fontId="41" fillId="0" borderId="0" xfId="0" applyFont="1"/>
    <xf numFmtId="41" fontId="41" fillId="0" borderId="0" xfId="3" applyFont="1" applyFill="1" applyBorder="1" applyAlignment="1" applyProtection="1">
      <alignment vertical="center" wrapText="1"/>
      <protection locked="0"/>
    </xf>
    <xf numFmtId="41" fontId="0" fillId="0" borderId="0" xfId="3" applyFont="1" applyFill="1" applyBorder="1"/>
    <xf numFmtId="0" fontId="10" fillId="0" borderId="0" xfId="4" applyFont="1"/>
    <xf numFmtId="41" fontId="15" fillId="0" borderId="0" xfId="3" applyFont="1" applyFill="1" applyAlignment="1">
      <alignment vertical="center"/>
    </xf>
    <xf numFmtId="0" fontId="11" fillId="0" borderId="0" xfId="4" applyFont="1"/>
    <xf numFmtId="41" fontId="21" fillId="0" borderId="0" xfId="3" applyFont="1" applyFill="1" applyBorder="1" applyAlignment="1">
      <alignment horizontal="left" vertical="top"/>
    </xf>
    <xf numFmtId="0" fontId="42" fillId="0" borderId="0" xfId="0" applyFont="1"/>
    <xf numFmtId="41" fontId="43" fillId="0" borderId="1" xfId="3" applyFont="1" applyFill="1" applyBorder="1" applyAlignment="1">
      <alignment horizontal="right" vertical="center"/>
    </xf>
    <xf numFmtId="41" fontId="43" fillId="0" borderId="1" xfId="3" applyFont="1" applyFill="1" applyBorder="1" applyAlignment="1">
      <alignment vertical="top" wrapText="1"/>
    </xf>
    <xf numFmtId="41" fontId="43" fillId="0" borderId="1" xfId="3" applyFont="1" applyFill="1" applyBorder="1" applyAlignment="1">
      <alignment horizontal="right" vertical="top"/>
    </xf>
    <xf numFmtId="0" fontId="44" fillId="0" borderId="0" xfId="0" applyFont="1"/>
    <xf numFmtId="41" fontId="43" fillId="0" borderId="1" xfId="3" applyFont="1" applyFill="1" applyBorder="1" applyAlignment="1">
      <alignment horizontal="right" vertical="center" wrapText="1"/>
    </xf>
    <xf numFmtId="41" fontId="25" fillId="0" borderId="0" xfId="3" applyFont="1" applyFill="1" applyBorder="1" applyAlignment="1">
      <alignment horizontal="left" vertical="top"/>
    </xf>
    <xf numFmtId="41" fontId="24" fillId="0" borderId="0" xfId="3" applyFont="1" applyFill="1"/>
    <xf numFmtId="0" fontId="45" fillId="0" borderId="0" xfId="0" applyFont="1" applyAlignment="1">
      <alignment horizontal="left"/>
    </xf>
    <xf numFmtId="0" fontId="46" fillId="3" borderId="1" xfId="1" applyFont="1" applyFill="1" applyBorder="1" applyAlignment="1">
      <alignment horizontal="center" vertical="top" wrapText="1"/>
    </xf>
    <xf numFmtId="1" fontId="43" fillId="0" borderId="0" xfId="1" applyNumberFormat="1" applyFont="1" applyAlignment="1">
      <alignment horizontal="left" vertical="top"/>
    </xf>
    <xf numFmtId="0" fontId="43" fillId="0" borderId="0" xfId="1" applyFont="1" applyAlignment="1">
      <alignment horizontal="left" vertical="top"/>
    </xf>
    <xf numFmtId="41" fontId="46" fillId="3" borderId="1" xfId="3" applyFont="1" applyFill="1" applyBorder="1" applyAlignment="1">
      <alignment horizontal="center" wrapText="1"/>
    </xf>
    <xf numFmtId="41" fontId="43" fillId="0" borderId="0" xfId="3" applyFont="1" applyFill="1" applyBorder="1" applyAlignment="1">
      <alignment horizontal="right" vertical="center" wrapText="1"/>
    </xf>
    <xf numFmtId="41" fontId="43" fillId="0" borderId="0" xfId="3" applyFont="1" applyFill="1" applyBorder="1" applyAlignment="1">
      <alignment horizontal="right" vertical="center"/>
    </xf>
    <xf numFmtId="41" fontId="47" fillId="0" borderId="0" xfId="3" applyFont="1" applyFill="1" applyBorder="1" applyAlignment="1">
      <alignment horizontal="right" vertical="center" wrapText="1"/>
    </xf>
    <xf numFmtId="41" fontId="25" fillId="0" borderId="1" xfId="3" applyFont="1" applyFill="1" applyBorder="1" applyAlignment="1">
      <alignment horizontal="right" vertical="center" wrapText="1"/>
    </xf>
    <xf numFmtId="0" fontId="7" fillId="0" borderId="0" xfId="4" applyFont="1"/>
    <xf numFmtId="41" fontId="25" fillId="0" borderId="1" xfId="3" applyFont="1" applyFill="1" applyBorder="1" applyAlignment="1">
      <alignment horizontal="right" vertical="center"/>
    </xf>
    <xf numFmtId="0" fontId="19" fillId="3" borderId="1" xfId="1" applyFont="1" applyFill="1" applyBorder="1" applyAlignment="1">
      <alignment wrapText="1"/>
    </xf>
    <xf numFmtId="1" fontId="21" fillId="0" borderId="1" xfId="1" applyNumberFormat="1" applyFont="1" applyBorder="1" applyAlignment="1">
      <alignment horizontal="left" vertical="top" shrinkToFit="1"/>
    </xf>
    <xf numFmtId="1" fontId="21" fillId="0" borderId="1" xfId="1" applyNumberFormat="1" applyFont="1" applyBorder="1" applyAlignment="1">
      <alignment horizontal="left" vertical="top" wrapText="1" shrinkToFit="1"/>
    </xf>
    <xf numFmtId="0" fontId="19" fillId="3" borderId="1" xfId="1" applyFont="1" applyFill="1" applyBorder="1" applyAlignment="1">
      <alignment horizontal="left" wrapText="1"/>
    </xf>
    <xf numFmtId="1" fontId="21" fillId="0" borderId="0" xfId="1" applyNumberFormat="1" applyFont="1" applyAlignment="1">
      <alignment horizontal="left" vertical="top" shrinkToFit="1"/>
    </xf>
    <xf numFmtId="0" fontId="20" fillId="0" borderId="0" xfId="1" applyFont="1" applyAlignment="1">
      <alignment horizontal="left" vertical="top" wrapText="1"/>
    </xf>
    <xf numFmtId="1" fontId="43" fillId="0" borderId="1" xfId="1" applyNumberFormat="1" applyFont="1" applyBorder="1" applyAlignment="1">
      <alignment horizontal="left" vertical="top" shrinkToFit="1"/>
    </xf>
    <xf numFmtId="0" fontId="19" fillId="3" borderId="1" xfId="1" applyFont="1" applyFill="1" applyBorder="1" applyAlignment="1">
      <alignment horizontal="left" vertical="top" wrapText="1"/>
    </xf>
    <xf numFmtId="1" fontId="43" fillId="0" borderId="0" xfId="0" applyNumberFormat="1" applyFont="1" applyAlignment="1">
      <alignment vertical="top"/>
    </xf>
    <xf numFmtId="41" fontId="43" fillId="0" borderId="0" xfId="1" applyNumberFormat="1" applyFont="1" applyAlignment="1">
      <alignment horizontal="left" vertical="top"/>
    </xf>
    <xf numFmtId="0" fontId="43" fillId="0" borderId="0" xfId="1" applyFont="1" applyAlignment="1">
      <alignment vertical="top"/>
    </xf>
    <xf numFmtId="41" fontId="25" fillId="0" borderId="1" xfId="3" applyFont="1" applyFill="1" applyBorder="1" applyAlignment="1">
      <alignment horizontal="right" vertical="top" wrapText="1"/>
    </xf>
    <xf numFmtId="0" fontId="15" fillId="5" borderId="0" xfId="4" applyFill="1"/>
    <xf numFmtId="0" fontId="4" fillId="0" borderId="0" xfId="4" applyFont="1"/>
    <xf numFmtId="0" fontId="3" fillId="0" borderId="0" xfId="4" applyFont="1"/>
    <xf numFmtId="41" fontId="43" fillId="0" borderId="1" xfId="3" applyFont="1" applyFill="1" applyBorder="1" applyAlignment="1">
      <alignment horizontal="right" vertical="top" wrapText="1"/>
    </xf>
    <xf numFmtId="41" fontId="46" fillId="3" borderId="1" xfId="3" applyFont="1" applyFill="1" applyBorder="1" applyAlignment="1">
      <alignment horizontal="center" vertical="center" wrapText="1"/>
    </xf>
    <xf numFmtId="41" fontId="43" fillId="0" borderId="1" xfId="3" applyFont="1" applyFill="1" applyBorder="1" applyAlignment="1">
      <alignment vertical="top"/>
    </xf>
    <xf numFmtId="41" fontId="43" fillId="0" borderId="1" xfId="3" applyFont="1" applyFill="1" applyBorder="1" applyAlignment="1">
      <alignment vertical="center"/>
    </xf>
    <xf numFmtId="41" fontId="43" fillId="0" borderId="1" xfId="3" applyFont="1" applyFill="1" applyBorder="1" applyAlignment="1">
      <alignment horizontal="left" vertical="top"/>
    </xf>
    <xf numFmtId="41" fontId="43" fillId="0" borderId="1" xfId="3" applyFont="1" applyBorder="1" applyAlignment="1">
      <alignment horizontal="left" vertical="top"/>
    </xf>
    <xf numFmtId="41" fontId="43" fillId="0" borderId="0" xfId="3" applyFont="1" applyAlignment="1">
      <alignment horizontal="left" vertical="top"/>
    </xf>
    <xf numFmtId="41" fontId="43" fillId="0" borderId="1" xfId="3" applyFont="1" applyFill="1" applyBorder="1" applyAlignment="1"/>
    <xf numFmtId="41" fontId="43" fillId="0" borderId="1" xfId="3" applyFont="1" applyFill="1" applyBorder="1" applyAlignment="1">
      <alignment horizontal="right"/>
    </xf>
    <xf numFmtId="41" fontId="43" fillId="0" borderId="1" xfId="3" applyFont="1" applyFill="1" applyBorder="1"/>
    <xf numFmtId="41" fontId="43" fillId="0" borderId="0" xfId="3" applyFont="1" applyFill="1" applyBorder="1" applyAlignment="1">
      <alignment horizontal="left" vertical="top"/>
    </xf>
    <xf numFmtId="0" fontId="15" fillId="0" borderId="0" xfId="4" applyAlignment="1">
      <alignment horizontal="left"/>
    </xf>
    <xf numFmtId="0" fontId="2" fillId="5" borderId="0" xfId="4" applyFont="1" applyFill="1"/>
    <xf numFmtId="41" fontId="15" fillId="5" borderId="0" xfId="3" applyFont="1" applyFill="1" applyAlignment="1">
      <alignment vertical="center"/>
    </xf>
    <xf numFmtId="41" fontId="6" fillId="0" borderId="0" xfId="3" applyFont="1" applyFill="1" applyAlignment="1">
      <alignment vertical="center"/>
    </xf>
    <xf numFmtId="0" fontId="49" fillId="0" borderId="0" xfId="0" applyFont="1" applyAlignment="1">
      <alignment vertical="center" wrapText="1"/>
    </xf>
    <xf numFmtId="0" fontId="5" fillId="0" borderId="0" xfId="4" applyFont="1" applyAlignment="1">
      <alignment horizontal="left"/>
    </xf>
    <xf numFmtId="41" fontId="5" fillId="0" borderId="0" xfId="3" applyFont="1" applyFill="1" applyAlignment="1">
      <alignment vertical="center"/>
    </xf>
    <xf numFmtId="0" fontId="5" fillId="0" borderId="0" xfId="4" applyFont="1"/>
    <xf numFmtId="0" fontId="50" fillId="0" borderId="0" xfId="0" applyFont="1"/>
    <xf numFmtId="41" fontId="5" fillId="0" borderId="0" xfId="3" applyFont="1" applyFill="1" applyAlignment="1">
      <alignment horizontal="left" vertical="center"/>
    </xf>
    <xf numFmtId="0" fontId="1" fillId="5" borderId="0" xfId="4" applyFont="1" applyFill="1"/>
    <xf numFmtId="0" fontId="21" fillId="0" borderId="0" xfId="1" applyFont="1" applyAlignment="1">
      <alignment horizontal="left" vertical="top" wrapText="1" indent="6"/>
    </xf>
    <xf numFmtId="164" fontId="18" fillId="2" borderId="1" xfId="1" applyNumberFormat="1" applyFont="1" applyFill="1" applyBorder="1" applyAlignment="1">
      <alignment horizontal="center" vertical="top" wrapText="1"/>
    </xf>
    <xf numFmtId="0" fontId="19" fillId="2" borderId="1" xfId="1" applyFont="1" applyFill="1" applyBorder="1" applyAlignment="1">
      <alignment horizontal="center" vertical="center" wrapText="1"/>
    </xf>
    <xf numFmtId="41" fontId="46" fillId="2" borderId="1" xfId="3" applyFont="1" applyFill="1" applyBorder="1" applyAlignment="1">
      <alignment horizontal="center" vertical="center" wrapText="1"/>
    </xf>
    <xf numFmtId="0" fontId="19" fillId="2" borderId="2" xfId="1" applyFont="1" applyFill="1" applyBorder="1" applyAlignment="1">
      <alignment horizontal="left" vertical="center" wrapText="1"/>
    </xf>
    <xf numFmtId="0" fontId="19" fillId="2" borderId="12" xfId="1" applyFont="1" applyFill="1" applyBorder="1" applyAlignment="1">
      <alignment horizontal="left" vertical="center" wrapText="1"/>
    </xf>
    <xf numFmtId="1" fontId="43" fillId="0" borderId="11" xfId="0" applyNumberFormat="1" applyFont="1" applyBorder="1" applyAlignment="1">
      <alignment horizontal="center" vertical="top"/>
    </xf>
    <xf numFmtId="164" fontId="19" fillId="2" borderId="1" xfId="1" applyNumberFormat="1" applyFont="1" applyFill="1" applyBorder="1" applyAlignment="1">
      <alignment horizontal="center" vertical="top" wrapText="1"/>
    </xf>
    <xf numFmtId="0" fontId="20" fillId="3" borderId="1" xfId="1" applyFont="1" applyFill="1" applyBorder="1" applyAlignment="1">
      <alignment horizontal="center" vertical="center" wrapText="1"/>
    </xf>
    <xf numFmtId="0" fontId="19" fillId="2" borderId="2" xfId="1" applyFont="1" applyFill="1" applyBorder="1" applyAlignment="1">
      <alignment horizontal="center" vertical="center" wrapText="1"/>
    </xf>
    <xf numFmtId="0" fontId="19" fillId="2" borderId="12" xfId="1" applyFont="1" applyFill="1" applyBorder="1" applyAlignment="1">
      <alignment horizontal="center" vertical="center" wrapText="1"/>
    </xf>
    <xf numFmtId="164" fontId="19" fillId="2" borderId="4" xfId="1" applyNumberFormat="1" applyFont="1" applyFill="1" applyBorder="1" applyAlignment="1">
      <alignment horizontal="center" vertical="top" wrapText="1"/>
    </xf>
    <xf numFmtId="164" fontId="19" fillId="2" borderId="0" xfId="1" applyNumberFormat="1" applyFont="1" applyFill="1" applyAlignment="1">
      <alignment horizontal="center" vertical="top" wrapText="1"/>
    </xf>
    <xf numFmtId="0" fontId="19" fillId="2" borderId="3" xfId="1" applyFont="1" applyFill="1" applyBorder="1" applyAlignment="1">
      <alignment horizontal="center" vertical="top" wrapText="1"/>
    </xf>
    <xf numFmtId="0" fontId="19" fillId="2" borderId="6" xfId="1" applyFont="1" applyFill="1" applyBorder="1" applyAlignment="1">
      <alignment horizontal="center" vertical="top" wrapText="1"/>
    </xf>
    <xf numFmtId="0" fontId="19" fillId="2" borderId="5" xfId="1" applyFont="1" applyFill="1" applyBorder="1" applyAlignment="1">
      <alignment horizontal="center" vertical="top" wrapText="1"/>
    </xf>
    <xf numFmtId="0" fontId="19" fillId="2" borderId="7" xfId="1" applyFont="1" applyFill="1" applyBorder="1" applyAlignment="1">
      <alignment horizontal="center" vertical="top" wrapText="1"/>
    </xf>
    <xf numFmtId="0" fontId="19" fillId="2" borderId="13" xfId="1" applyFont="1" applyFill="1" applyBorder="1" applyAlignment="1">
      <alignment horizontal="center" vertical="top" wrapText="1"/>
    </xf>
    <xf numFmtId="0" fontId="19" fillId="2" borderId="3" xfId="1" applyFont="1" applyFill="1" applyBorder="1" applyAlignment="1">
      <alignment horizontal="center" vertical="center" wrapText="1"/>
    </xf>
    <xf numFmtId="0" fontId="19" fillId="2" borderId="6" xfId="1" applyFont="1" applyFill="1" applyBorder="1" applyAlignment="1">
      <alignment horizontal="center" vertical="center" wrapText="1"/>
    </xf>
    <xf numFmtId="0" fontId="19" fillId="2" borderId="5" xfId="1" applyFont="1" applyFill="1" applyBorder="1" applyAlignment="1">
      <alignment horizontal="center" vertical="center" wrapText="1"/>
    </xf>
    <xf numFmtId="0" fontId="19" fillId="2" borderId="7" xfId="1" applyFont="1" applyFill="1" applyBorder="1" applyAlignment="1">
      <alignment horizontal="center" vertical="center" wrapText="1"/>
    </xf>
    <xf numFmtId="1" fontId="46" fillId="2" borderId="1" xfId="1" applyNumberFormat="1" applyFont="1" applyFill="1" applyBorder="1" applyAlignment="1">
      <alignment horizontal="center" vertical="center" wrapText="1"/>
    </xf>
    <xf numFmtId="1" fontId="46" fillId="2" borderId="2" xfId="1" applyNumberFormat="1" applyFont="1" applyFill="1" applyBorder="1" applyAlignment="1">
      <alignment horizontal="center" vertical="center" wrapText="1"/>
    </xf>
    <xf numFmtId="0" fontId="19" fillId="2" borderId="3" xfId="1" applyFont="1" applyFill="1" applyBorder="1" applyAlignment="1">
      <alignment horizontal="left" vertical="center" wrapText="1"/>
    </xf>
    <xf numFmtId="0" fontId="19" fillId="2" borderId="13" xfId="1" applyFont="1" applyFill="1" applyBorder="1" applyAlignment="1">
      <alignment horizontal="left" vertical="center" wrapText="1"/>
    </xf>
    <xf numFmtId="1" fontId="19" fillId="2" borderId="1" xfId="1" applyNumberFormat="1" applyFont="1" applyFill="1" applyBorder="1" applyAlignment="1">
      <alignment horizontal="center" vertical="center" wrapText="1"/>
    </xf>
    <xf numFmtId="1" fontId="19" fillId="2" borderId="2" xfId="1" applyNumberFormat="1" applyFont="1" applyFill="1" applyBorder="1" applyAlignment="1">
      <alignment horizontal="center" vertical="center" wrapText="1"/>
    </xf>
    <xf numFmtId="0" fontId="5" fillId="0" borderId="0" xfId="4" applyFont="1" applyAlignment="1">
      <alignment horizontal="left"/>
    </xf>
    <xf numFmtId="0" fontId="15" fillId="0" borderId="0" xfId="4" applyAlignment="1">
      <alignment horizontal="left"/>
    </xf>
    <xf numFmtId="0" fontId="5" fillId="0" borderId="0" xfId="4" applyFont="1" applyAlignment="1">
      <alignment horizontal="center"/>
    </xf>
    <xf numFmtId="0" fontId="15" fillId="0" borderId="0" xfId="4" applyAlignment="1">
      <alignment horizontal="center"/>
    </xf>
    <xf numFmtId="0" fontId="41" fillId="0" borderId="0" xfId="4" applyFont="1" applyAlignment="1">
      <alignment horizontal="left"/>
    </xf>
    <xf numFmtId="0" fontId="29" fillId="0" borderId="0" xfId="4" applyFont="1" applyAlignment="1">
      <alignment horizontal="left" vertical="top" wrapText="1"/>
    </xf>
    <xf numFmtId="0" fontId="7" fillId="0" borderId="0" xfId="4" applyFont="1" applyAlignment="1">
      <alignment horizontal="left"/>
    </xf>
    <xf numFmtId="0" fontId="8" fillId="0" borderId="0" xfId="4" applyFont="1" applyAlignment="1">
      <alignment horizontal="left"/>
    </xf>
    <xf numFmtId="0" fontId="9" fillId="0" borderId="0" xfId="4" applyFont="1" applyAlignment="1">
      <alignment horizontal="left"/>
    </xf>
    <xf numFmtId="0" fontId="0" fillId="0" borderId="0" xfId="0" applyAlignment="1">
      <alignment horizontal="left"/>
    </xf>
    <xf numFmtId="0" fontId="13" fillId="0" borderId="0" xfId="4" applyFont="1" applyAlignment="1" applyProtection="1">
      <alignment horizontal="center" vertical="center" wrapText="1"/>
      <protection locked="0"/>
    </xf>
    <xf numFmtId="0" fontId="31" fillId="0" borderId="0" xfId="4" applyFont="1" applyAlignment="1">
      <alignment horizontal="right" vertical="top" wrapText="1"/>
    </xf>
    <xf numFmtId="0" fontId="38" fillId="0" borderId="8" xfId="4" applyFont="1" applyBorder="1" applyAlignment="1">
      <alignment horizontal="left" vertical="top" wrapText="1"/>
    </xf>
    <xf numFmtId="41" fontId="36" fillId="0" borderId="10" xfId="3" applyFont="1" applyFill="1" applyBorder="1" applyAlignment="1" applyProtection="1">
      <alignment horizontal="center" vertical="center" wrapText="1"/>
      <protection locked="0"/>
    </xf>
    <xf numFmtId="0" fontId="33" fillId="0" borderId="0" xfId="4" applyFont="1" applyAlignment="1">
      <alignment horizontal="center" vertical="top" wrapText="1"/>
    </xf>
    <xf numFmtId="0" fontId="32" fillId="0" borderId="0" xfId="4" applyFont="1" applyAlignment="1">
      <alignment horizontal="center" vertical="top" wrapText="1"/>
    </xf>
    <xf numFmtId="0" fontId="34" fillId="0" borderId="0" xfId="4" applyFont="1" applyAlignment="1">
      <alignment horizontal="center" vertical="top" wrapText="1"/>
    </xf>
  </cellXfs>
  <cellStyles count="8">
    <cellStyle name="Comma [0]" xfId="3" builtinId="6"/>
    <cellStyle name="Comma [0] 2" xfId="6" xr:uid="{16F160A5-C178-4A39-810C-BD111C8090BC}"/>
    <cellStyle name="Normal" xfId="0" builtinId="0"/>
    <cellStyle name="Normal 2" xfId="1" xr:uid="{00000000-0005-0000-0000-000001000000}"/>
    <cellStyle name="Normal 3" xfId="2" xr:uid="{00000000-0005-0000-0000-000002000000}"/>
    <cellStyle name="Normal 3 2" xfId="5" xr:uid="{37B0AD86-D419-4D5B-AC81-E7FF4402E6D7}"/>
    <cellStyle name="Normal 4" xfId="4" xr:uid="{84E1C2E4-399E-422D-98DF-02F5E29A7114}"/>
    <cellStyle name="Normal 4 2" xfId="7" xr:uid="{47E601E8-BD8A-4307-BBDB-C57DA2DC9213}"/>
  </cellStyles>
  <dxfs count="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05"/>
  <sheetViews>
    <sheetView view="pageBreakPreview" zoomScale="80" zoomScaleNormal="100" zoomScaleSheetLayoutView="80" workbookViewId="0">
      <pane ySplit="4" topLeftCell="A35" activePane="bottomLeft" state="frozen"/>
      <selection activeCell="E33" sqref="E33:F33"/>
      <selection pane="bottomLeft" activeCell="C36" sqref="C36"/>
    </sheetView>
  </sheetViews>
  <sheetFormatPr defaultRowHeight="15"/>
  <cols>
    <col min="1" max="1" width="7" style="8" customWidth="1"/>
    <col min="2" max="2" width="54.5703125" style="8" hidden="1" customWidth="1"/>
    <col min="3" max="3" width="76" style="8" customWidth="1"/>
    <col min="4" max="4" width="18.5703125" style="67" hidden="1" customWidth="1"/>
    <col min="5" max="5" width="0.28515625" style="67" hidden="1" customWidth="1"/>
    <col min="6" max="7" width="19.85546875" style="67" customWidth="1"/>
    <col min="8" max="8" width="19.28515625" style="52" hidden="1" customWidth="1"/>
    <col min="9" max="9" width="14.28515625" style="52" hidden="1" customWidth="1"/>
    <col min="10" max="16384" width="9.140625" style="8"/>
  </cols>
  <sheetData>
    <row r="1" spans="1:9" ht="21" customHeight="1">
      <c r="A1" s="110">
        <v>45176</v>
      </c>
      <c r="B1" s="110"/>
      <c r="C1" s="110"/>
      <c r="D1" s="110"/>
      <c r="E1" s="110"/>
      <c r="F1" s="110"/>
      <c r="G1" s="110"/>
    </row>
    <row r="2" spans="1:9" ht="18" customHeight="1">
      <c r="A2" s="111" t="s">
        <v>55</v>
      </c>
      <c r="B2" s="113" t="s">
        <v>2534</v>
      </c>
      <c r="C2" s="111" t="s">
        <v>56</v>
      </c>
      <c r="D2" s="112" t="s">
        <v>2533</v>
      </c>
      <c r="E2" s="112"/>
      <c r="F2" s="112" t="s">
        <v>2532</v>
      </c>
      <c r="G2" s="112"/>
    </row>
    <row r="3" spans="1:9" ht="18" customHeight="1">
      <c r="A3" s="111"/>
      <c r="B3" s="114"/>
      <c r="C3" s="111"/>
      <c r="D3" s="112"/>
      <c r="E3" s="112"/>
      <c r="F3" s="112"/>
      <c r="G3" s="112"/>
    </row>
    <row r="4" spans="1:9" ht="18" customHeight="1">
      <c r="A4" s="72"/>
      <c r="B4" s="75"/>
      <c r="C4" s="72" t="s">
        <v>57</v>
      </c>
      <c r="D4" s="65" t="s">
        <v>79</v>
      </c>
      <c r="E4" s="65" t="s">
        <v>80</v>
      </c>
      <c r="F4" s="65" t="s">
        <v>79</v>
      </c>
      <c r="G4" s="65" t="s">
        <v>80</v>
      </c>
    </row>
    <row r="5" spans="1:9" ht="18" customHeight="1">
      <c r="A5" s="9">
        <v>1</v>
      </c>
      <c r="B5" s="73" t="s">
        <v>363</v>
      </c>
      <c r="C5" s="2" t="s">
        <v>90</v>
      </c>
      <c r="D5" s="58">
        <f>F5/1.11</f>
        <v>2297297.297297297</v>
      </c>
      <c r="E5" s="54">
        <f>G5/1.11</f>
        <v>2387387.387387387</v>
      </c>
      <c r="F5" s="58">
        <v>2550000</v>
      </c>
      <c r="G5" s="54">
        <v>2650000</v>
      </c>
      <c r="H5" s="52">
        <v>2550000</v>
      </c>
      <c r="I5" s="52">
        <v>2650000</v>
      </c>
    </row>
    <row r="6" spans="1:9" ht="18" customHeight="1">
      <c r="A6" s="9">
        <v>2</v>
      </c>
      <c r="B6" s="73" t="s">
        <v>365</v>
      </c>
      <c r="C6" s="2" t="s">
        <v>70</v>
      </c>
      <c r="D6" s="58">
        <f t="shared" ref="D6:D73" si="0">F6/1.11</f>
        <v>2342342.3423423423</v>
      </c>
      <c r="E6" s="54">
        <f t="shared" ref="E6:E71" si="1">G6/1.11</f>
        <v>2432432.4324324322</v>
      </c>
      <c r="F6" s="58">
        <v>2600000</v>
      </c>
      <c r="G6" s="54">
        <v>2700000</v>
      </c>
      <c r="H6" s="52">
        <v>2600000</v>
      </c>
      <c r="I6" s="52">
        <v>2700000</v>
      </c>
    </row>
    <row r="7" spans="1:9" ht="18" customHeight="1">
      <c r="A7" s="9">
        <v>3</v>
      </c>
      <c r="B7" s="73" t="s">
        <v>367</v>
      </c>
      <c r="C7" s="2" t="s">
        <v>71</v>
      </c>
      <c r="D7" s="69">
        <f t="shared" si="0"/>
        <v>2342342.3423423423</v>
      </c>
      <c r="E7" s="71">
        <f t="shared" si="1"/>
        <v>2432432.4324324322</v>
      </c>
      <c r="F7" s="58">
        <v>2600000</v>
      </c>
      <c r="G7" s="54">
        <v>2700000</v>
      </c>
    </row>
    <row r="8" spans="1:9" ht="18" customHeight="1">
      <c r="A8" s="9">
        <v>4</v>
      </c>
      <c r="B8" s="73" t="s">
        <v>369</v>
      </c>
      <c r="C8" s="2" t="s">
        <v>72</v>
      </c>
      <c r="D8" s="58">
        <f t="shared" si="0"/>
        <v>2432432.4324324322</v>
      </c>
      <c r="E8" s="54">
        <f t="shared" si="1"/>
        <v>2522522.5225225221</v>
      </c>
      <c r="F8" s="58">
        <v>2700000</v>
      </c>
      <c r="G8" s="58">
        <v>2800000</v>
      </c>
    </row>
    <row r="9" spans="1:9" ht="18" customHeight="1">
      <c r="A9" s="9">
        <v>5</v>
      </c>
      <c r="B9" s="73" t="s">
        <v>371</v>
      </c>
      <c r="C9" s="2" t="s">
        <v>73</v>
      </c>
      <c r="D9" s="58">
        <f t="shared" si="0"/>
        <v>4054054.0540540535</v>
      </c>
      <c r="E9" s="54">
        <f t="shared" si="1"/>
        <v>4189189.1891891886</v>
      </c>
      <c r="F9" s="58">
        <v>4500000</v>
      </c>
      <c r="G9" s="54">
        <v>4650000</v>
      </c>
      <c r="H9" s="52">
        <v>4500000</v>
      </c>
      <c r="I9" s="52">
        <v>4650000</v>
      </c>
    </row>
    <row r="10" spans="1:9" ht="18" customHeight="1">
      <c r="A10" s="9">
        <v>6</v>
      </c>
      <c r="B10" s="73" t="s">
        <v>373</v>
      </c>
      <c r="C10" s="2" t="s">
        <v>74</v>
      </c>
      <c r="D10" s="58">
        <f t="shared" si="0"/>
        <v>4684684.6846846845</v>
      </c>
      <c r="E10" s="54">
        <f t="shared" si="1"/>
        <v>4819819.8198198192</v>
      </c>
      <c r="F10" s="58">
        <v>5200000</v>
      </c>
      <c r="G10" s="54">
        <v>5350000</v>
      </c>
      <c r="H10" s="52">
        <v>5200000</v>
      </c>
      <c r="I10" s="52">
        <v>5350000</v>
      </c>
    </row>
    <row r="11" spans="1:9" ht="18" customHeight="1">
      <c r="A11" s="9">
        <v>7</v>
      </c>
      <c r="B11" s="73" t="s">
        <v>375</v>
      </c>
      <c r="C11" s="2" t="s">
        <v>75</v>
      </c>
      <c r="D11" s="58">
        <f t="shared" si="0"/>
        <v>5225225.2252252251</v>
      </c>
      <c r="E11" s="54">
        <f t="shared" si="1"/>
        <v>5360360.3603603598</v>
      </c>
      <c r="F11" s="58">
        <v>5800000</v>
      </c>
      <c r="G11" s="54">
        <v>5950000</v>
      </c>
      <c r="H11" s="52">
        <v>5800000</v>
      </c>
      <c r="I11" s="52">
        <v>5950000</v>
      </c>
    </row>
    <row r="12" spans="1:9" ht="18" customHeight="1">
      <c r="A12" s="9">
        <v>8</v>
      </c>
      <c r="B12" s="73" t="s">
        <v>377</v>
      </c>
      <c r="C12" s="2" t="s">
        <v>76</v>
      </c>
      <c r="D12" s="58">
        <f t="shared" si="0"/>
        <v>8648648.6486486476</v>
      </c>
      <c r="E12" s="54">
        <f t="shared" si="1"/>
        <v>8738738.738738738</v>
      </c>
      <c r="F12" s="58">
        <v>9600000</v>
      </c>
      <c r="G12" s="54">
        <v>9700000</v>
      </c>
      <c r="H12" s="52">
        <v>10000000</v>
      </c>
      <c r="I12" s="52">
        <v>10250000</v>
      </c>
    </row>
    <row r="13" spans="1:9" ht="18" customHeight="1">
      <c r="A13" s="9">
        <v>9</v>
      </c>
      <c r="B13" s="73" t="s">
        <v>520</v>
      </c>
      <c r="C13" s="4" t="s">
        <v>40</v>
      </c>
      <c r="D13" s="58">
        <f t="shared" si="0"/>
        <v>18018.018018018018</v>
      </c>
      <c r="E13" s="54">
        <f t="shared" si="1"/>
        <v>18018.018018018018</v>
      </c>
      <c r="F13" s="58">
        <v>20000</v>
      </c>
      <c r="G13" s="54">
        <v>20000</v>
      </c>
    </row>
    <row r="14" spans="1:9" ht="18" customHeight="1">
      <c r="A14" s="9">
        <v>10</v>
      </c>
      <c r="B14" s="73" t="s">
        <v>434</v>
      </c>
      <c r="C14" s="2" t="s">
        <v>68</v>
      </c>
      <c r="D14" s="58">
        <f t="shared" si="0"/>
        <v>1981981.9819819818</v>
      </c>
      <c r="E14" s="54">
        <f t="shared" si="1"/>
        <v>1981981.9819819818</v>
      </c>
      <c r="F14" s="58">
        <v>2200000</v>
      </c>
      <c r="G14" s="54">
        <v>2200000</v>
      </c>
    </row>
    <row r="15" spans="1:9" ht="18" customHeight="1">
      <c r="A15" s="9">
        <v>11</v>
      </c>
      <c r="B15" s="73" t="s">
        <v>432</v>
      </c>
      <c r="C15" s="2" t="s">
        <v>69</v>
      </c>
      <c r="D15" s="58">
        <f t="shared" si="0"/>
        <v>2972972.9729729728</v>
      </c>
      <c r="E15" s="54">
        <f t="shared" si="1"/>
        <v>2972972.9729729728</v>
      </c>
      <c r="F15" s="58">
        <v>3300000</v>
      </c>
      <c r="G15" s="54">
        <v>3300000</v>
      </c>
    </row>
    <row r="16" spans="1:9" ht="18" customHeight="1">
      <c r="A16" s="9">
        <v>12</v>
      </c>
      <c r="B16" s="73" t="s">
        <v>327</v>
      </c>
      <c r="C16" s="2" t="s">
        <v>244</v>
      </c>
      <c r="D16" s="58">
        <f t="shared" si="0"/>
        <v>265765.76576576574</v>
      </c>
      <c r="E16" s="54">
        <f t="shared" si="1"/>
        <v>265765.76576576574</v>
      </c>
      <c r="F16" s="87">
        <v>295000</v>
      </c>
      <c r="G16" s="87">
        <v>295000</v>
      </c>
      <c r="H16" s="83">
        <v>295000</v>
      </c>
      <c r="I16" s="83">
        <v>295000</v>
      </c>
    </row>
    <row r="17" spans="1:9" ht="21" customHeight="1">
      <c r="A17" s="9"/>
      <c r="B17" s="74" t="s">
        <v>2512</v>
      </c>
      <c r="C17" s="2" t="s">
        <v>1223</v>
      </c>
      <c r="D17" s="58">
        <f t="shared" si="0"/>
        <v>265765.76576576574</v>
      </c>
      <c r="E17" s="54">
        <f t="shared" si="1"/>
        <v>265765.76576576574</v>
      </c>
      <c r="F17" s="87">
        <v>295000</v>
      </c>
      <c r="G17" s="87">
        <v>295000</v>
      </c>
    </row>
    <row r="18" spans="1:9" ht="18" customHeight="1">
      <c r="A18" s="9">
        <v>13</v>
      </c>
      <c r="B18" s="73" t="s">
        <v>329</v>
      </c>
      <c r="C18" s="2" t="s">
        <v>246</v>
      </c>
      <c r="D18" s="58">
        <f t="shared" si="0"/>
        <v>265765.76576576574</v>
      </c>
      <c r="E18" s="54">
        <f t="shared" si="1"/>
        <v>265765.76576576574</v>
      </c>
      <c r="F18" s="87">
        <v>295000</v>
      </c>
      <c r="G18" s="87">
        <v>295000</v>
      </c>
      <c r="I18" s="59"/>
    </row>
    <row r="19" spans="1:9" ht="18" customHeight="1">
      <c r="A19" s="9"/>
      <c r="B19" s="73" t="s">
        <v>1234</v>
      </c>
      <c r="C19" s="2" t="s">
        <v>245</v>
      </c>
      <c r="D19" s="58">
        <f t="shared" si="0"/>
        <v>265765.76576576574</v>
      </c>
      <c r="E19" s="54">
        <f t="shared" si="1"/>
        <v>265765.76576576574</v>
      </c>
      <c r="F19" s="87">
        <v>295000</v>
      </c>
      <c r="G19" s="87">
        <v>295000</v>
      </c>
    </row>
    <row r="20" spans="1:9" ht="18" customHeight="1">
      <c r="A20" s="9">
        <v>14</v>
      </c>
      <c r="B20" s="73" t="s">
        <v>1232</v>
      </c>
      <c r="C20" s="2" t="s">
        <v>1231</v>
      </c>
      <c r="D20" s="58">
        <f t="shared" si="0"/>
        <v>265765.76576576574</v>
      </c>
      <c r="E20" s="54">
        <f t="shared" si="1"/>
        <v>265765.76576576574</v>
      </c>
      <c r="F20" s="87">
        <v>295000</v>
      </c>
      <c r="G20" s="87">
        <v>295000</v>
      </c>
    </row>
    <row r="21" spans="1:9" ht="18" customHeight="1">
      <c r="A21" s="9">
        <v>15</v>
      </c>
      <c r="B21" s="73" t="s">
        <v>1238</v>
      </c>
      <c r="C21" s="2" t="s">
        <v>247</v>
      </c>
      <c r="D21" s="58">
        <f t="shared" si="0"/>
        <v>265765.76576576574</v>
      </c>
      <c r="E21" s="54">
        <f t="shared" si="1"/>
        <v>265765.76576576574</v>
      </c>
      <c r="F21" s="87">
        <v>295000</v>
      </c>
      <c r="G21" s="87">
        <v>295000</v>
      </c>
    </row>
    <row r="22" spans="1:9" ht="18" customHeight="1">
      <c r="A22" s="9">
        <v>16</v>
      </c>
      <c r="B22" s="73" t="s">
        <v>331</v>
      </c>
      <c r="C22" s="2" t="s">
        <v>248</v>
      </c>
      <c r="D22" s="58">
        <f t="shared" si="0"/>
        <v>265765.76576576574</v>
      </c>
      <c r="E22" s="54">
        <f t="shared" si="1"/>
        <v>265765.76576576574</v>
      </c>
      <c r="F22" s="87">
        <v>295000</v>
      </c>
      <c r="G22" s="87">
        <v>295000</v>
      </c>
    </row>
    <row r="23" spans="1:9" ht="18" customHeight="1">
      <c r="A23" s="9"/>
      <c r="B23" s="73" t="s">
        <v>2513</v>
      </c>
      <c r="C23" s="2" t="s">
        <v>1241</v>
      </c>
      <c r="D23" s="58">
        <f t="shared" si="0"/>
        <v>265765.76576576574</v>
      </c>
      <c r="E23" s="54">
        <f t="shared" si="1"/>
        <v>265765.76576576574</v>
      </c>
      <c r="F23" s="87">
        <v>295000</v>
      </c>
      <c r="G23" s="87">
        <v>295000</v>
      </c>
    </row>
    <row r="24" spans="1:9" ht="18" customHeight="1">
      <c r="A24" s="9">
        <v>17</v>
      </c>
      <c r="B24" s="73" t="s">
        <v>333</v>
      </c>
      <c r="C24" s="2" t="s">
        <v>250</v>
      </c>
      <c r="D24" s="58">
        <f t="shared" si="0"/>
        <v>450450.45045045041</v>
      </c>
      <c r="E24" s="54">
        <f t="shared" si="1"/>
        <v>450450.45045045041</v>
      </c>
      <c r="F24" s="87">
        <v>500000</v>
      </c>
      <c r="G24" s="87">
        <v>500000</v>
      </c>
    </row>
    <row r="25" spans="1:9" ht="18" customHeight="1">
      <c r="A25" s="9"/>
      <c r="B25" s="73" t="s">
        <v>1256</v>
      </c>
      <c r="C25" s="2" t="s">
        <v>1255</v>
      </c>
      <c r="D25" s="58">
        <f t="shared" si="0"/>
        <v>450450.45045045041</v>
      </c>
      <c r="E25" s="54">
        <f t="shared" si="1"/>
        <v>450450.45045045041</v>
      </c>
      <c r="F25" s="87">
        <v>500000</v>
      </c>
      <c r="G25" s="87">
        <v>500000</v>
      </c>
    </row>
    <row r="26" spans="1:9" ht="18" customHeight="1">
      <c r="A26" s="9">
        <v>18</v>
      </c>
      <c r="B26" s="73" t="s">
        <v>2514</v>
      </c>
      <c r="C26" s="2" t="s">
        <v>249</v>
      </c>
      <c r="D26" s="58">
        <f t="shared" si="0"/>
        <v>450450.45045045041</v>
      </c>
      <c r="E26" s="54">
        <f t="shared" si="1"/>
        <v>450450.45045045041</v>
      </c>
      <c r="F26" s="87">
        <v>500000</v>
      </c>
      <c r="G26" s="87">
        <v>500000</v>
      </c>
      <c r="H26" s="52" t="s">
        <v>236</v>
      </c>
    </row>
    <row r="27" spans="1:9" ht="18" customHeight="1">
      <c r="A27" s="9">
        <v>19</v>
      </c>
      <c r="B27" s="73" t="s">
        <v>2179</v>
      </c>
      <c r="C27" s="2" t="s">
        <v>263</v>
      </c>
      <c r="D27" s="58">
        <f t="shared" si="0"/>
        <v>1981981.9819819818</v>
      </c>
      <c r="E27" s="54">
        <f t="shared" si="1"/>
        <v>1981981.9819819818</v>
      </c>
      <c r="F27" s="58">
        <v>2200000</v>
      </c>
      <c r="G27" s="58">
        <v>2200000</v>
      </c>
    </row>
    <row r="28" spans="1:9" ht="18" customHeight="1">
      <c r="A28" s="9">
        <v>20</v>
      </c>
      <c r="B28" s="73" t="s">
        <v>293</v>
      </c>
      <c r="C28" s="2" t="s">
        <v>264</v>
      </c>
      <c r="D28" s="58">
        <f t="shared" si="0"/>
        <v>2477477.4774774774</v>
      </c>
      <c r="E28" s="54">
        <f t="shared" si="1"/>
        <v>2477477.4774774774</v>
      </c>
      <c r="F28" s="54">
        <v>2750000</v>
      </c>
      <c r="G28" s="54">
        <v>2750000</v>
      </c>
    </row>
    <row r="29" spans="1:9" ht="18" customHeight="1">
      <c r="A29" s="9">
        <v>21</v>
      </c>
      <c r="B29" s="73" t="s">
        <v>2174</v>
      </c>
      <c r="C29" s="2" t="s">
        <v>2468</v>
      </c>
      <c r="D29" s="58">
        <f t="shared" si="0"/>
        <v>2027027.0270270268</v>
      </c>
      <c r="E29" s="54">
        <f t="shared" si="1"/>
        <v>2027027.0270270268</v>
      </c>
      <c r="F29" s="54">
        <v>2250000</v>
      </c>
      <c r="G29" s="54">
        <v>2250000</v>
      </c>
    </row>
    <row r="30" spans="1:9" ht="18" customHeight="1">
      <c r="A30" s="9">
        <v>22</v>
      </c>
      <c r="B30" s="73" t="s">
        <v>1583</v>
      </c>
      <c r="C30" s="2" t="s">
        <v>2472</v>
      </c>
      <c r="D30" s="58">
        <f t="shared" si="0"/>
        <v>2072072.072072072</v>
      </c>
      <c r="E30" s="54">
        <f t="shared" si="1"/>
        <v>2072072.072072072</v>
      </c>
      <c r="F30" s="54">
        <v>2300000</v>
      </c>
      <c r="G30" s="54">
        <v>2300000</v>
      </c>
    </row>
    <row r="31" spans="1:9" ht="18" customHeight="1">
      <c r="A31" s="9">
        <v>23</v>
      </c>
      <c r="B31" s="73" t="s">
        <v>335</v>
      </c>
      <c r="C31" s="2" t="s">
        <v>252</v>
      </c>
      <c r="D31" s="58">
        <f t="shared" si="0"/>
        <v>495495.49549549544</v>
      </c>
      <c r="E31" s="54">
        <f t="shared" si="1"/>
        <v>495495.49549549544</v>
      </c>
      <c r="F31" s="87">
        <v>550000</v>
      </c>
      <c r="G31" s="87">
        <v>550000</v>
      </c>
    </row>
    <row r="32" spans="1:9" ht="18" customHeight="1">
      <c r="A32" s="9"/>
      <c r="B32" s="73" t="s">
        <v>2515</v>
      </c>
      <c r="C32" s="2" t="s">
        <v>1277</v>
      </c>
      <c r="D32" s="58">
        <f t="shared" si="0"/>
        <v>495495.49549549544</v>
      </c>
      <c r="E32" s="54">
        <f t="shared" si="1"/>
        <v>495495.49549549544</v>
      </c>
      <c r="F32" s="87">
        <v>550000</v>
      </c>
      <c r="G32" s="87">
        <v>550000</v>
      </c>
    </row>
    <row r="33" spans="1:9" ht="18" customHeight="1">
      <c r="A33" s="9">
        <v>24</v>
      </c>
      <c r="B33" s="73" t="s">
        <v>337</v>
      </c>
      <c r="C33" s="2" t="s">
        <v>251</v>
      </c>
      <c r="D33" s="58">
        <f t="shared" si="0"/>
        <v>1081081.0810810809</v>
      </c>
      <c r="E33" s="54">
        <f t="shared" si="1"/>
        <v>1081081.0810810809</v>
      </c>
      <c r="F33" s="87">
        <v>1200000</v>
      </c>
      <c r="G33" s="87">
        <v>1200000</v>
      </c>
    </row>
    <row r="34" spans="1:9" ht="18" customHeight="1">
      <c r="A34" s="9"/>
      <c r="B34" s="73" t="s">
        <v>2516</v>
      </c>
      <c r="C34" s="2" t="s">
        <v>1281</v>
      </c>
      <c r="D34" s="58">
        <f t="shared" si="0"/>
        <v>1081081.0810810809</v>
      </c>
      <c r="E34" s="54">
        <f t="shared" si="1"/>
        <v>1081081.0810810809</v>
      </c>
      <c r="F34" s="87">
        <v>1200000</v>
      </c>
      <c r="G34" s="87">
        <v>1200000</v>
      </c>
    </row>
    <row r="35" spans="1:9" ht="18" customHeight="1">
      <c r="A35" s="9">
        <v>25</v>
      </c>
      <c r="B35" s="73" t="s">
        <v>341</v>
      </c>
      <c r="C35" s="2" t="s">
        <v>262</v>
      </c>
      <c r="D35" s="58">
        <f t="shared" si="0"/>
        <v>900900.90090090083</v>
      </c>
      <c r="E35" s="54">
        <f t="shared" si="1"/>
        <v>923423.42342342332</v>
      </c>
      <c r="F35" s="58">
        <v>1000000</v>
      </c>
      <c r="G35" s="58">
        <v>1025000</v>
      </c>
    </row>
    <row r="36" spans="1:9" ht="18" customHeight="1">
      <c r="A36" s="9">
        <v>26</v>
      </c>
      <c r="B36" s="73" t="s">
        <v>2517</v>
      </c>
      <c r="C36" s="2" t="s">
        <v>2575</v>
      </c>
      <c r="D36" s="58">
        <f t="shared" si="0"/>
        <v>810810.81081081077</v>
      </c>
      <c r="E36" s="54">
        <f t="shared" si="1"/>
        <v>810810.81081081077</v>
      </c>
      <c r="F36" s="58">
        <v>900000</v>
      </c>
      <c r="G36" s="58">
        <v>900000</v>
      </c>
      <c r="H36" s="69">
        <v>1000000</v>
      </c>
      <c r="I36" s="69">
        <v>1000000</v>
      </c>
    </row>
    <row r="37" spans="1:9" ht="18" customHeight="1">
      <c r="A37" s="9">
        <v>27</v>
      </c>
      <c r="B37" s="73" t="s">
        <v>2518</v>
      </c>
      <c r="C37" s="2" t="s">
        <v>2576</v>
      </c>
      <c r="D37" s="58">
        <f t="shared" si="0"/>
        <v>810810.81081081077</v>
      </c>
      <c r="E37" s="54">
        <f t="shared" si="1"/>
        <v>810810.81081081077</v>
      </c>
      <c r="F37" s="58">
        <v>900000</v>
      </c>
      <c r="G37" s="58">
        <v>900000</v>
      </c>
    </row>
    <row r="38" spans="1:9" ht="18" customHeight="1">
      <c r="A38" s="9">
        <v>28</v>
      </c>
      <c r="B38" s="73" t="s">
        <v>347</v>
      </c>
      <c r="C38" s="2" t="s">
        <v>261</v>
      </c>
      <c r="D38" s="58">
        <f t="shared" si="0"/>
        <v>1261261.2612612611</v>
      </c>
      <c r="E38" s="54">
        <f t="shared" si="1"/>
        <v>1261261.2612612611</v>
      </c>
      <c r="F38" s="87">
        <v>1400000</v>
      </c>
      <c r="G38" s="87">
        <v>1400000</v>
      </c>
    </row>
    <row r="39" spans="1:9" ht="18" customHeight="1">
      <c r="A39" s="9">
        <v>29</v>
      </c>
      <c r="B39" s="73" t="s">
        <v>347</v>
      </c>
      <c r="C39" s="2" t="s">
        <v>2475</v>
      </c>
      <c r="D39" s="58">
        <f t="shared" si="0"/>
        <v>0</v>
      </c>
      <c r="E39" s="54">
        <f t="shared" si="1"/>
        <v>0</v>
      </c>
      <c r="F39" s="87"/>
      <c r="G39" s="87"/>
    </row>
    <row r="40" spans="1:9" ht="18" customHeight="1">
      <c r="A40" s="9"/>
      <c r="B40" s="73" t="s">
        <v>349</v>
      </c>
      <c r="C40" s="2" t="s">
        <v>348</v>
      </c>
      <c r="D40" s="58">
        <f t="shared" si="0"/>
        <v>0</v>
      </c>
      <c r="E40" s="54">
        <f t="shared" si="1"/>
        <v>0</v>
      </c>
      <c r="F40" s="87"/>
      <c r="G40" s="87"/>
    </row>
    <row r="41" spans="1:9" ht="18" customHeight="1">
      <c r="A41" s="9">
        <v>30</v>
      </c>
      <c r="B41" s="73" t="s">
        <v>343</v>
      </c>
      <c r="C41" s="2" t="s">
        <v>2670</v>
      </c>
      <c r="D41" s="58">
        <f t="shared" si="0"/>
        <v>1126126.1261261259</v>
      </c>
      <c r="E41" s="54">
        <f t="shared" si="1"/>
        <v>1126126.1261261259</v>
      </c>
      <c r="F41" s="69">
        <v>1250000</v>
      </c>
      <c r="G41" s="69">
        <v>1250000</v>
      </c>
    </row>
    <row r="42" spans="1:9" ht="18" customHeight="1">
      <c r="A42" s="9">
        <v>31</v>
      </c>
      <c r="B42" s="73" t="s">
        <v>1468</v>
      </c>
      <c r="C42" s="2" t="s">
        <v>265</v>
      </c>
      <c r="D42" s="58">
        <f t="shared" si="0"/>
        <v>990990.99099099089</v>
      </c>
      <c r="E42" s="54">
        <f t="shared" si="1"/>
        <v>990990.99099099089</v>
      </c>
      <c r="F42" s="54">
        <v>1100000</v>
      </c>
      <c r="G42" s="54">
        <v>1100000</v>
      </c>
    </row>
    <row r="43" spans="1:9" ht="18" customHeight="1">
      <c r="A43" s="9">
        <v>32</v>
      </c>
      <c r="B43" s="78" t="s">
        <v>353</v>
      </c>
      <c r="C43" s="2" t="s">
        <v>274</v>
      </c>
      <c r="D43" s="58">
        <f t="shared" si="0"/>
        <v>297297.29729729728</v>
      </c>
      <c r="E43" s="54">
        <f t="shared" si="1"/>
        <v>297297.29729729728</v>
      </c>
      <c r="F43" s="87">
        <v>330000</v>
      </c>
      <c r="G43" s="87">
        <v>330000</v>
      </c>
    </row>
    <row r="44" spans="1:9" ht="17.25" customHeight="1">
      <c r="A44" s="9">
        <v>33</v>
      </c>
      <c r="B44" s="78" t="s">
        <v>357</v>
      </c>
      <c r="C44" s="2" t="s">
        <v>275</v>
      </c>
      <c r="D44" s="58">
        <f t="shared" si="0"/>
        <v>297297.29729729728</v>
      </c>
      <c r="E44" s="54">
        <f t="shared" si="1"/>
        <v>297297.29729729728</v>
      </c>
      <c r="F44" s="87">
        <v>330000</v>
      </c>
      <c r="G44" s="87">
        <v>330000</v>
      </c>
      <c r="I44" s="60"/>
    </row>
    <row r="45" spans="1:9" ht="18" customHeight="1">
      <c r="A45" s="9">
        <v>34</v>
      </c>
      <c r="B45" s="78" t="s">
        <v>359</v>
      </c>
      <c r="C45" s="2" t="s">
        <v>276</v>
      </c>
      <c r="D45" s="58">
        <f t="shared" si="0"/>
        <v>315315.31531531527</v>
      </c>
      <c r="E45" s="54">
        <f t="shared" si="1"/>
        <v>315315.31531531527</v>
      </c>
      <c r="F45" s="87">
        <v>350000</v>
      </c>
      <c r="G45" s="87">
        <v>350000</v>
      </c>
      <c r="I45" s="60"/>
    </row>
    <row r="46" spans="1:9" ht="18" customHeight="1">
      <c r="A46" s="9">
        <v>35</v>
      </c>
      <c r="B46" s="78" t="s">
        <v>361</v>
      </c>
      <c r="C46" s="2" t="s">
        <v>58</v>
      </c>
      <c r="D46" s="58">
        <f t="shared" si="0"/>
        <v>337837.83783783781</v>
      </c>
      <c r="E46" s="54">
        <f t="shared" si="1"/>
        <v>337837.83783783781</v>
      </c>
      <c r="F46" s="87">
        <v>375000</v>
      </c>
      <c r="G46" s="87">
        <v>375000</v>
      </c>
      <c r="I46" s="60"/>
    </row>
    <row r="47" spans="1:9" ht="18" customHeight="1">
      <c r="A47" s="9">
        <v>36</v>
      </c>
      <c r="B47" s="78" t="s">
        <v>1499</v>
      </c>
      <c r="C47" s="4" t="s">
        <v>46</v>
      </c>
      <c r="D47" s="58">
        <f t="shared" si="0"/>
        <v>0</v>
      </c>
      <c r="E47" s="54">
        <f t="shared" si="1"/>
        <v>0</v>
      </c>
      <c r="F47" s="58"/>
      <c r="G47" s="54"/>
      <c r="I47" s="60"/>
    </row>
    <row r="48" spans="1:9" ht="18" customHeight="1">
      <c r="A48" s="9">
        <v>37</v>
      </c>
      <c r="B48" s="78" t="s">
        <v>1226</v>
      </c>
      <c r="C48" s="2" t="s">
        <v>239</v>
      </c>
      <c r="D48" s="58">
        <f t="shared" si="0"/>
        <v>4954954.9549549548</v>
      </c>
      <c r="E48" s="54">
        <f t="shared" si="1"/>
        <v>4954954.9549549548</v>
      </c>
      <c r="F48" s="58">
        <v>5500000</v>
      </c>
      <c r="G48" s="58">
        <v>5500000</v>
      </c>
    </row>
    <row r="49" spans="1:7" ht="18" customHeight="1">
      <c r="A49" s="9">
        <v>38</v>
      </c>
      <c r="B49" s="73" t="s">
        <v>2519</v>
      </c>
      <c r="C49" s="2" t="s">
        <v>64</v>
      </c>
      <c r="D49" s="58">
        <f t="shared" si="0"/>
        <v>49549549.549549542</v>
      </c>
      <c r="E49" s="54">
        <f t="shared" si="1"/>
        <v>50450450.450450443</v>
      </c>
      <c r="F49" s="58">
        <v>55000000</v>
      </c>
      <c r="G49" s="58">
        <v>56000000</v>
      </c>
    </row>
    <row r="50" spans="1:7" ht="18" customHeight="1">
      <c r="A50" s="9">
        <v>39</v>
      </c>
      <c r="B50" s="73" t="s">
        <v>381</v>
      </c>
      <c r="C50" s="2" t="s">
        <v>60</v>
      </c>
      <c r="D50" s="58">
        <f t="shared" si="0"/>
        <v>13063063.063063063</v>
      </c>
      <c r="E50" s="54">
        <f t="shared" si="1"/>
        <v>13243243.243243242</v>
      </c>
      <c r="F50" s="87">
        <v>14500000</v>
      </c>
      <c r="G50" s="87">
        <v>14700000</v>
      </c>
    </row>
    <row r="51" spans="1:7" ht="18" customHeight="1">
      <c r="A51" s="9">
        <v>40</v>
      </c>
      <c r="B51" s="73" t="s">
        <v>383</v>
      </c>
      <c r="C51" s="2" t="s">
        <v>89</v>
      </c>
      <c r="D51" s="58">
        <f t="shared" si="0"/>
        <v>16666666.666666666</v>
      </c>
      <c r="E51" s="54">
        <f t="shared" si="1"/>
        <v>16846846.846846845</v>
      </c>
      <c r="F51" s="58">
        <v>18500000</v>
      </c>
      <c r="G51" s="54">
        <v>18700000</v>
      </c>
    </row>
    <row r="52" spans="1:7" ht="18" customHeight="1">
      <c r="A52" s="9">
        <v>41</v>
      </c>
      <c r="B52" s="73"/>
      <c r="C52" s="2" t="s">
        <v>2667</v>
      </c>
      <c r="D52" s="58">
        <f t="shared" si="0"/>
        <v>14414414.414414413</v>
      </c>
      <c r="E52" s="54"/>
      <c r="F52" s="58">
        <v>16000000</v>
      </c>
      <c r="G52" s="58">
        <v>16200000</v>
      </c>
    </row>
    <row r="53" spans="1:7" ht="18" customHeight="1">
      <c r="A53" s="9">
        <v>42</v>
      </c>
      <c r="B53" s="73" t="s">
        <v>385</v>
      </c>
      <c r="C53" s="2" t="s">
        <v>61</v>
      </c>
      <c r="D53" s="58">
        <f t="shared" si="0"/>
        <v>15765765.765765764</v>
      </c>
      <c r="E53" s="54">
        <f t="shared" si="1"/>
        <v>15945945.945945945</v>
      </c>
      <c r="F53" s="58">
        <v>17500000</v>
      </c>
      <c r="G53" s="58">
        <v>17700000</v>
      </c>
    </row>
    <row r="54" spans="1:7" ht="18" customHeight="1">
      <c r="A54" s="9">
        <v>43</v>
      </c>
      <c r="B54" s="73" t="s">
        <v>387</v>
      </c>
      <c r="C54" s="2" t="s">
        <v>62</v>
      </c>
      <c r="D54" s="58">
        <f t="shared" si="0"/>
        <v>28828828.828828827</v>
      </c>
      <c r="E54" s="54">
        <f t="shared" si="1"/>
        <v>29279279.279279277</v>
      </c>
      <c r="F54" s="58">
        <v>32000000</v>
      </c>
      <c r="G54" s="54">
        <v>32500000</v>
      </c>
    </row>
    <row r="55" spans="1:7" ht="18" customHeight="1">
      <c r="A55" s="9">
        <v>44</v>
      </c>
      <c r="B55" s="73" t="s">
        <v>2520</v>
      </c>
      <c r="C55" s="2" t="s">
        <v>63</v>
      </c>
      <c r="D55" s="58">
        <f t="shared" si="0"/>
        <v>49549549.549549542</v>
      </c>
      <c r="E55" s="54">
        <f t="shared" si="1"/>
        <v>50450450.450450443</v>
      </c>
      <c r="F55" s="58">
        <v>55000000</v>
      </c>
      <c r="G55" s="58">
        <v>56000000</v>
      </c>
    </row>
    <row r="56" spans="1:7" ht="18" customHeight="1">
      <c r="A56" s="9">
        <v>45</v>
      </c>
      <c r="B56" s="73" t="s">
        <v>379</v>
      </c>
      <c r="C56" s="2" t="s">
        <v>59</v>
      </c>
      <c r="D56" s="58" t="e">
        <f t="shared" si="0"/>
        <v>#VALUE!</v>
      </c>
      <c r="E56" s="54">
        <f t="shared" si="1"/>
        <v>17567567.567567565</v>
      </c>
      <c r="F56" s="58" t="s">
        <v>279</v>
      </c>
      <c r="G56" s="54">
        <v>19500000</v>
      </c>
    </row>
    <row r="57" spans="1:7" ht="18" customHeight="1">
      <c r="A57" s="9">
        <v>46</v>
      </c>
      <c r="B57" s="73" t="s">
        <v>397</v>
      </c>
      <c r="C57" s="2" t="s">
        <v>67</v>
      </c>
      <c r="D57" s="58">
        <f t="shared" si="0"/>
        <v>15765765.765765764</v>
      </c>
      <c r="E57" s="54">
        <f t="shared" si="1"/>
        <v>16441441.441441439</v>
      </c>
      <c r="F57" s="58">
        <v>17500000</v>
      </c>
      <c r="G57" s="54">
        <v>18250000</v>
      </c>
    </row>
    <row r="58" spans="1:7" ht="18" customHeight="1">
      <c r="A58" s="9">
        <v>47</v>
      </c>
      <c r="B58" s="73" t="s">
        <v>398</v>
      </c>
      <c r="C58" s="2" t="s">
        <v>278</v>
      </c>
      <c r="D58" s="58">
        <f t="shared" si="0"/>
        <v>31531531.531531528</v>
      </c>
      <c r="E58" s="54">
        <f t="shared" si="1"/>
        <v>32432432.432432428</v>
      </c>
      <c r="F58" s="58">
        <v>35000000</v>
      </c>
      <c r="G58" s="54">
        <v>36000000</v>
      </c>
    </row>
    <row r="59" spans="1:7" ht="18" customHeight="1">
      <c r="A59" s="9">
        <v>48</v>
      </c>
      <c r="B59" s="73" t="s">
        <v>393</v>
      </c>
      <c r="C59" s="2" t="s">
        <v>65</v>
      </c>
      <c r="D59" s="58">
        <f t="shared" si="0"/>
        <v>5855855.8558558552</v>
      </c>
      <c r="E59" s="54">
        <f t="shared" si="1"/>
        <v>6306306.3063063053</v>
      </c>
      <c r="F59" s="58">
        <v>6500000</v>
      </c>
      <c r="G59" s="54">
        <v>7000000</v>
      </c>
    </row>
    <row r="60" spans="1:7" ht="18" customHeight="1">
      <c r="A60" s="9">
        <v>49</v>
      </c>
      <c r="B60" s="73" t="s">
        <v>395</v>
      </c>
      <c r="C60" s="2" t="s">
        <v>66</v>
      </c>
      <c r="D60" s="58">
        <f t="shared" si="0"/>
        <v>8738738.738738738</v>
      </c>
      <c r="E60" s="54">
        <f t="shared" si="1"/>
        <v>9189189.1891891882</v>
      </c>
      <c r="F60" s="58">
        <v>9700000</v>
      </c>
      <c r="G60" s="54">
        <v>10200000</v>
      </c>
    </row>
    <row r="61" spans="1:7" ht="18" customHeight="1">
      <c r="A61" s="9">
        <v>50</v>
      </c>
      <c r="B61" s="73" t="s">
        <v>2521</v>
      </c>
      <c r="C61" s="2" t="s">
        <v>2577</v>
      </c>
      <c r="D61" s="58">
        <f t="shared" ref="D61" si="2">F61/1.11</f>
        <v>68468468.468468457</v>
      </c>
      <c r="E61" s="54">
        <f t="shared" ref="E61" si="3">G61/1.11</f>
        <v>68468468.468468457</v>
      </c>
      <c r="F61" s="58">
        <v>76000000</v>
      </c>
      <c r="G61" s="58">
        <v>76000000</v>
      </c>
    </row>
    <row r="62" spans="1:7" ht="18" customHeight="1">
      <c r="A62" s="9">
        <v>51</v>
      </c>
      <c r="B62" s="73" t="s">
        <v>2521</v>
      </c>
      <c r="C62" s="2" t="s">
        <v>2480</v>
      </c>
      <c r="D62" s="58">
        <f t="shared" si="0"/>
        <v>82882882.882882878</v>
      </c>
      <c r="E62" s="54">
        <f t="shared" si="1"/>
        <v>82882882.882882878</v>
      </c>
      <c r="F62" s="58">
        <v>92000000</v>
      </c>
      <c r="G62" s="58">
        <v>92000000</v>
      </c>
    </row>
    <row r="63" spans="1:7" ht="18" customHeight="1">
      <c r="A63" s="9">
        <v>52</v>
      </c>
      <c r="B63" s="73" t="s">
        <v>2522</v>
      </c>
      <c r="C63" s="2" t="s">
        <v>2481</v>
      </c>
      <c r="D63" s="58">
        <f t="shared" si="0"/>
        <v>90990990.990990981</v>
      </c>
      <c r="E63" s="54">
        <f t="shared" si="1"/>
        <v>90990990.990990981</v>
      </c>
      <c r="F63" s="58">
        <v>101000000</v>
      </c>
      <c r="G63" s="58">
        <v>101000000</v>
      </c>
    </row>
    <row r="64" spans="1:7" ht="18" customHeight="1">
      <c r="A64" s="9">
        <v>53</v>
      </c>
      <c r="B64" s="73" t="s">
        <v>2501</v>
      </c>
      <c r="C64" s="2" t="s">
        <v>2482</v>
      </c>
      <c r="D64" s="58">
        <f t="shared" si="0"/>
        <v>103603603.6036036</v>
      </c>
      <c r="E64" s="54">
        <f t="shared" si="1"/>
        <v>103603603.6036036</v>
      </c>
      <c r="F64" s="58">
        <v>115000000</v>
      </c>
      <c r="G64" s="58">
        <v>115000000</v>
      </c>
    </row>
    <row r="65" spans="1:9" ht="18" customHeight="1">
      <c r="A65" s="9">
        <v>54</v>
      </c>
      <c r="B65" s="73" t="s">
        <v>2523</v>
      </c>
      <c r="C65" s="2" t="s">
        <v>2507</v>
      </c>
      <c r="D65" s="58">
        <f t="shared" si="0"/>
        <v>140000000</v>
      </c>
      <c r="E65" s="54">
        <f t="shared" si="1"/>
        <v>140000000</v>
      </c>
      <c r="F65" s="58">
        <v>155400000</v>
      </c>
      <c r="G65" s="58">
        <v>155400000</v>
      </c>
    </row>
    <row r="66" spans="1:9" ht="18" customHeight="1">
      <c r="A66" s="9">
        <v>55</v>
      </c>
      <c r="B66" s="73" t="s">
        <v>2524</v>
      </c>
      <c r="C66" s="2" t="s">
        <v>2508</v>
      </c>
      <c r="D66" s="58">
        <f t="shared" si="0"/>
        <v>174999999.99999997</v>
      </c>
      <c r="E66" s="54">
        <f t="shared" si="1"/>
        <v>174999999.99999997</v>
      </c>
      <c r="F66" s="58">
        <v>194250000</v>
      </c>
      <c r="G66" s="58">
        <v>194250000</v>
      </c>
    </row>
    <row r="67" spans="1:9" ht="18" customHeight="1">
      <c r="A67" s="9">
        <v>56</v>
      </c>
      <c r="B67" s="73" t="s">
        <v>2525</v>
      </c>
      <c r="C67" s="2" t="s">
        <v>2505</v>
      </c>
      <c r="D67" s="58">
        <f t="shared" si="0"/>
        <v>292792792.79279274</v>
      </c>
      <c r="E67" s="54">
        <f t="shared" si="1"/>
        <v>292792792.79279274</v>
      </c>
      <c r="F67" s="58">
        <v>325000000</v>
      </c>
      <c r="G67" s="58">
        <v>325000000</v>
      </c>
    </row>
    <row r="68" spans="1:9" ht="18" customHeight="1">
      <c r="A68" s="9">
        <v>57</v>
      </c>
      <c r="B68" s="73" t="s">
        <v>2526</v>
      </c>
      <c r="C68" s="2" t="s">
        <v>2506</v>
      </c>
      <c r="D68" s="58">
        <f t="shared" si="0"/>
        <v>292792792.79279274</v>
      </c>
      <c r="E68" s="54">
        <f t="shared" si="1"/>
        <v>292792792.79279274</v>
      </c>
      <c r="F68" s="58">
        <v>325000000</v>
      </c>
      <c r="G68" s="58">
        <v>325000000</v>
      </c>
    </row>
    <row r="69" spans="1:9" ht="18" customHeight="1">
      <c r="A69" s="9">
        <v>58</v>
      </c>
      <c r="B69" s="73" t="s">
        <v>2499</v>
      </c>
      <c r="C69" s="2" t="s">
        <v>2502</v>
      </c>
      <c r="D69" s="58">
        <f t="shared" si="0"/>
        <v>396396396.39639634</v>
      </c>
      <c r="E69" s="54">
        <f t="shared" si="1"/>
        <v>396396396.39639634</v>
      </c>
      <c r="F69" s="58">
        <v>440000000</v>
      </c>
      <c r="G69" s="58">
        <v>440000000</v>
      </c>
    </row>
    <row r="70" spans="1:9" ht="18" customHeight="1">
      <c r="A70" s="9">
        <v>59</v>
      </c>
      <c r="B70" s="73" t="s">
        <v>2527</v>
      </c>
      <c r="C70" s="2" t="s">
        <v>2503</v>
      </c>
      <c r="D70" s="58">
        <f t="shared" si="0"/>
        <v>450450450.45045042</v>
      </c>
      <c r="E70" s="54">
        <f t="shared" si="1"/>
        <v>450450450.45045042</v>
      </c>
      <c r="F70" s="58">
        <v>500000000</v>
      </c>
      <c r="G70" s="58">
        <v>500000000</v>
      </c>
    </row>
    <row r="71" spans="1:9" ht="18" customHeight="1">
      <c r="A71" s="9">
        <v>60</v>
      </c>
      <c r="B71" s="73" t="s">
        <v>2528</v>
      </c>
      <c r="C71" s="2" t="s">
        <v>2510</v>
      </c>
      <c r="D71" s="58">
        <f t="shared" si="0"/>
        <v>518018018.01801795</v>
      </c>
      <c r="E71" s="54">
        <f t="shared" si="1"/>
        <v>518018018.01801795</v>
      </c>
      <c r="F71" s="58">
        <v>575000000</v>
      </c>
      <c r="G71" s="58">
        <v>575000000</v>
      </c>
    </row>
    <row r="72" spans="1:9" ht="18" customHeight="1">
      <c r="A72" s="9">
        <v>61</v>
      </c>
      <c r="B72" s="73"/>
      <c r="C72" s="2" t="s">
        <v>2568</v>
      </c>
      <c r="D72" s="58">
        <f t="shared" si="0"/>
        <v>351351351.35135132</v>
      </c>
      <c r="E72" s="54"/>
      <c r="F72" s="58">
        <v>390000000</v>
      </c>
      <c r="G72" s="58">
        <v>390000000</v>
      </c>
    </row>
    <row r="73" spans="1:9" ht="18" customHeight="1">
      <c r="A73" s="9">
        <v>62</v>
      </c>
      <c r="B73" s="73"/>
      <c r="C73" s="2" t="s">
        <v>2569</v>
      </c>
      <c r="D73" s="58">
        <f t="shared" si="0"/>
        <v>472972972.97297293</v>
      </c>
      <c r="E73" s="54"/>
      <c r="F73" s="58">
        <v>525000000</v>
      </c>
      <c r="G73" s="58">
        <v>525000000</v>
      </c>
    </row>
    <row r="74" spans="1:9" ht="18" customHeight="1">
      <c r="A74" s="9">
        <v>63</v>
      </c>
      <c r="B74" s="73" t="s">
        <v>2529</v>
      </c>
      <c r="C74" s="2" t="s">
        <v>2509</v>
      </c>
      <c r="D74" s="58">
        <f t="shared" ref="D74:D79" si="4">F74/1.11</f>
        <v>495495495.49549544</v>
      </c>
      <c r="E74" s="54">
        <f t="shared" ref="E74:E79" si="5">G74/1.11</f>
        <v>495495495.49549544</v>
      </c>
      <c r="F74" s="58">
        <v>550000000</v>
      </c>
      <c r="G74" s="58">
        <v>550000000</v>
      </c>
    </row>
    <row r="75" spans="1:9" ht="18" customHeight="1">
      <c r="A75" s="9">
        <v>64</v>
      </c>
      <c r="B75" s="73" t="s">
        <v>2530</v>
      </c>
      <c r="C75" s="2" t="s">
        <v>2504</v>
      </c>
      <c r="D75" s="58">
        <f t="shared" si="4"/>
        <v>699999999.99999988</v>
      </c>
      <c r="E75" s="54">
        <f t="shared" si="5"/>
        <v>699999999.99999988</v>
      </c>
      <c r="F75" s="58">
        <v>777000000</v>
      </c>
      <c r="G75" s="58">
        <v>777000000</v>
      </c>
    </row>
    <row r="76" spans="1:9" ht="18" customHeight="1">
      <c r="A76" s="9">
        <v>65</v>
      </c>
      <c r="B76" s="73" t="s">
        <v>2531</v>
      </c>
      <c r="C76" s="2" t="s">
        <v>2542</v>
      </c>
      <c r="D76" s="58">
        <f t="shared" ref="D76" si="6">F76/1.11</f>
        <v>135135135.13513511</v>
      </c>
      <c r="E76" s="54">
        <f t="shared" ref="E76" si="7">G76/1.11</f>
        <v>135135135.13513511</v>
      </c>
      <c r="F76" s="58">
        <v>150000000</v>
      </c>
      <c r="G76" s="58">
        <v>150000000</v>
      </c>
      <c r="H76" s="69">
        <v>330000000</v>
      </c>
      <c r="I76" s="69">
        <v>330000000</v>
      </c>
    </row>
    <row r="77" spans="1:9" ht="18" customHeight="1">
      <c r="A77" s="9">
        <v>66</v>
      </c>
      <c r="B77" s="73" t="s">
        <v>2531</v>
      </c>
      <c r="C77" s="2" t="s">
        <v>2511</v>
      </c>
      <c r="D77" s="58">
        <f t="shared" ref="D77" si="8">F77/1.11</f>
        <v>274774774.77477473</v>
      </c>
      <c r="E77" s="54">
        <f t="shared" ref="E77" si="9">G77/1.11</f>
        <v>279279279.27927923</v>
      </c>
      <c r="F77" s="58">
        <v>305000000</v>
      </c>
      <c r="G77" s="58">
        <v>310000000</v>
      </c>
    </row>
    <row r="78" spans="1:9" ht="17.25" customHeight="1">
      <c r="A78" s="9">
        <v>67</v>
      </c>
      <c r="B78" s="73" t="s">
        <v>2531</v>
      </c>
      <c r="C78" s="2" t="s">
        <v>2543</v>
      </c>
      <c r="D78" s="58">
        <f t="shared" si="4"/>
        <v>360360360.36036032</v>
      </c>
      <c r="E78" s="54">
        <f t="shared" si="5"/>
        <v>360360360.36036032</v>
      </c>
      <c r="F78" s="58">
        <v>400000000</v>
      </c>
      <c r="G78" s="58">
        <v>400000000</v>
      </c>
    </row>
    <row r="79" spans="1:9" ht="17.25" customHeight="1">
      <c r="A79" s="9">
        <v>68</v>
      </c>
      <c r="B79" s="73"/>
      <c r="C79" s="2" t="s">
        <v>2544</v>
      </c>
      <c r="D79" s="58">
        <f t="shared" si="4"/>
        <v>923423423.42342329</v>
      </c>
      <c r="E79" s="54">
        <f t="shared" si="5"/>
        <v>923423423.42342329</v>
      </c>
      <c r="F79" s="58">
        <v>1025000000</v>
      </c>
      <c r="G79" s="58">
        <v>1025000000</v>
      </c>
    </row>
    <row r="80" spans="1:9" ht="17.25" customHeight="1">
      <c r="A80" s="9">
        <v>69</v>
      </c>
      <c r="B80" s="73" t="s">
        <v>2531</v>
      </c>
      <c r="C80" s="2" t="s">
        <v>2668</v>
      </c>
      <c r="D80" s="58">
        <f t="shared" ref="D80" si="10">F80/1.11</f>
        <v>1103603603.6036036</v>
      </c>
      <c r="E80" s="54">
        <f t="shared" ref="E80" si="11">G80/1.11</f>
        <v>1103603603.6036036</v>
      </c>
      <c r="F80" s="58">
        <v>1225000000</v>
      </c>
      <c r="G80" s="58">
        <v>1225000000</v>
      </c>
    </row>
    <row r="81" spans="1:6" ht="18" customHeight="1">
      <c r="A81" s="10"/>
      <c r="B81" s="76"/>
      <c r="C81" s="1"/>
      <c r="D81" s="66"/>
      <c r="F81" s="66"/>
    </row>
    <row r="82" spans="1:6" ht="18" customHeight="1">
      <c r="A82" s="10"/>
      <c r="B82" s="76"/>
      <c r="C82" s="1"/>
      <c r="D82" s="66"/>
      <c r="F82" s="66"/>
    </row>
    <row r="83" spans="1:6" ht="18" customHeight="1">
      <c r="A83" s="10"/>
      <c r="B83" s="76"/>
      <c r="C83" s="1"/>
      <c r="D83" s="66"/>
      <c r="F83" s="66"/>
    </row>
    <row r="84" spans="1:6" ht="18" customHeight="1">
      <c r="A84" s="10"/>
      <c r="B84" s="76"/>
      <c r="C84" s="1"/>
      <c r="D84" s="66"/>
      <c r="F84" s="66"/>
    </row>
    <row r="85" spans="1:6" ht="18" customHeight="1">
      <c r="A85" s="10"/>
      <c r="B85" s="76"/>
      <c r="C85" s="1"/>
      <c r="D85" s="66"/>
      <c r="F85" s="66"/>
    </row>
    <row r="86" spans="1:6" ht="18" customHeight="1">
      <c r="A86" s="10"/>
      <c r="B86" s="76"/>
      <c r="C86" s="1"/>
      <c r="D86" s="66"/>
      <c r="F86" s="66"/>
    </row>
    <row r="87" spans="1:6">
      <c r="A87" s="10"/>
      <c r="B87" s="76"/>
      <c r="C87" s="1"/>
      <c r="D87" s="66"/>
      <c r="F87" s="66"/>
    </row>
    <row r="88" spans="1:6">
      <c r="A88" s="10"/>
      <c r="B88" s="76"/>
      <c r="C88" s="1"/>
      <c r="D88" s="66"/>
      <c r="F88" s="66"/>
    </row>
    <row r="89" spans="1:6">
      <c r="A89" s="10"/>
      <c r="B89" s="76"/>
      <c r="C89" s="1"/>
      <c r="D89" s="66"/>
      <c r="F89" s="66"/>
    </row>
    <row r="90" spans="1:6">
      <c r="A90" s="10"/>
      <c r="B90" s="76"/>
      <c r="C90" s="1"/>
      <c r="D90" s="66"/>
      <c r="F90" s="66"/>
    </row>
    <row r="91" spans="1:6">
      <c r="A91" s="10"/>
      <c r="B91" s="76"/>
      <c r="C91" s="1"/>
      <c r="D91" s="66"/>
      <c r="F91" s="66"/>
    </row>
    <row r="92" spans="1:6">
      <c r="A92" s="10"/>
      <c r="B92" s="76"/>
      <c r="C92" s="1"/>
      <c r="D92" s="66"/>
      <c r="F92" s="66"/>
    </row>
    <row r="93" spans="1:6" ht="18" customHeight="1">
      <c r="A93" s="10"/>
      <c r="B93" s="76"/>
      <c r="C93" s="1"/>
      <c r="D93" s="66"/>
      <c r="F93" s="66"/>
    </row>
    <row r="94" spans="1:6" ht="18" customHeight="1">
      <c r="A94" s="10"/>
      <c r="B94" s="76"/>
      <c r="C94" s="1"/>
      <c r="D94" s="66"/>
      <c r="F94" s="66"/>
    </row>
    <row r="95" spans="1:6" ht="18" customHeight="1">
      <c r="A95" s="10"/>
      <c r="B95" s="76"/>
      <c r="C95" s="1"/>
      <c r="D95" s="66"/>
      <c r="F95" s="66"/>
    </row>
    <row r="96" spans="1:6" ht="18" customHeight="1">
      <c r="A96" s="10"/>
      <c r="B96" s="76"/>
      <c r="C96" s="1"/>
      <c r="D96" s="66"/>
      <c r="F96" s="66"/>
    </row>
    <row r="97" spans="1:6" ht="18" customHeight="1">
      <c r="A97" s="10"/>
      <c r="B97" s="76"/>
      <c r="C97" s="1"/>
      <c r="D97" s="66"/>
      <c r="F97" s="66"/>
    </row>
    <row r="98" spans="1:6" ht="18" customHeight="1">
      <c r="A98" s="10"/>
      <c r="B98" s="76"/>
      <c r="C98" s="1"/>
      <c r="D98" s="66"/>
      <c r="F98" s="66"/>
    </row>
    <row r="99" spans="1:6" ht="18" customHeight="1">
      <c r="A99" s="10"/>
      <c r="B99" s="76"/>
      <c r="C99" s="1"/>
      <c r="D99" s="66"/>
      <c r="F99" s="66"/>
    </row>
    <row r="100" spans="1:6" ht="18" customHeight="1">
      <c r="A100" s="10"/>
      <c r="B100" s="76"/>
      <c r="C100" s="1"/>
      <c r="D100" s="66"/>
      <c r="F100" s="66"/>
    </row>
    <row r="101" spans="1:6" ht="18" customHeight="1">
      <c r="A101" s="10"/>
      <c r="B101" s="76"/>
      <c r="C101" s="1"/>
      <c r="D101" s="66"/>
      <c r="F101" s="66"/>
    </row>
    <row r="102" spans="1:6" ht="18" customHeight="1">
      <c r="A102" s="10"/>
      <c r="B102" s="76"/>
      <c r="C102" s="1"/>
      <c r="D102" s="66"/>
      <c r="F102" s="66"/>
    </row>
    <row r="103" spans="1:6" ht="18" customHeight="1">
      <c r="A103" s="10"/>
      <c r="B103" s="76"/>
      <c r="C103" s="1"/>
      <c r="D103" s="66"/>
      <c r="F103" s="66"/>
    </row>
    <row r="104" spans="1:6" ht="18" customHeight="1">
      <c r="A104" s="10"/>
      <c r="B104" s="76"/>
      <c r="C104" s="1"/>
      <c r="D104" s="66"/>
      <c r="F104" s="66"/>
    </row>
    <row r="105" spans="1:6" ht="18" customHeight="1">
      <c r="A105" s="10"/>
      <c r="B105" s="76"/>
      <c r="C105" s="1"/>
      <c r="D105" s="66"/>
      <c r="F105" s="66"/>
    </row>
    <row r="106" spans="1:6" ht="18" customHeight="1">
      <c r="A106" s="10"/>
      <c r="B106" s="76"/>
      <c r="C106" s="1"/>
      <c r="D106" s="66"/>
      <c r="F106" s="66"/>
    </row>
    <row r="107" spans="1:6" ht="18" customHeight="1">
      <c r="A107" s="10"/>
      <c r="B107" s="76"/>
      <c r="C107" s="1"/>
      <c r="D107" s="66"/>
      <c r="F107" s="66"/>
    </row>
    <row r="108" spans="1:6" ht="18" customHeight="1">
      <c r="A108" s="10"/>
      <c r="B108" s="76"/>
      <c r="C108" s="1"/>
      <c r="D108" s="66"/>
      <c r="F108" s="66"/>
    </row>
    <row r="109" spans="1:6" ht="18" customHeight="1">
      <c r="A109" s="3"/>
      <c r="B109" s="77"/>
      <c r="C109" s="3"/>
      <c r="D109" s="68"/>
      <c r="F109" s="68"/>
    </row>
    <row r="110" spans="1:6" ht="18" customHeight="1">
      <c r="A110" s="10"/>
      <c r="B110" s="76"/>
      <c r="C110" s="1"/>
      <c r="D110" s="66"/>
      <c r="F110" s="66"/>
    </row>
    <row r="111" spans="1:6" ht="18" customHeight="1">
      <c r="A111" s="10"/>
      <c r="B111" s="76"/>
      <c r="C111" s="1"/>
      <c r="D111" s="66"/>
      <c r="F111" s="66"/>
    </row>
    <row r="112" spans="1:6" ht="18" customHeight="1">
      <c r="A112" s="10"/>
      <c r="B112" s="76"/>
      <c r="C112" s="1"/>
      <c r="D112" s="66"/>
      <c r="F112" s="66"/>
    </row>
    <row r="113" spans="1:6" ht="18" customHeight="1">
      <c r="A113" s="10"/>
      <c r="B113" s="76"/>
      <c r="C113" s="1"/>
      <c r="D113" s="66"/>
      <c r="F113" s="66"/>
    </row>
    <row r="114" spans="1:6" ht="18" customHeight="1">
      <c r="A114" s="10"/>
      <c r="B114" s="76"/>
      <c r="C114" s="1"/>
      <c r="D114" s="66"/>
      <c r="F114" s="66"/>
    </row>
    <row r="115" spans="1:6" ht="18" customHeight="1">
      <c r="A115" s="3"/>
      <c r="B115" s="77"/>
      <c r="C115" s="3"/>
      <c r="D115" s="68"/>
      <c r="F115" s="68"/>
    </row>
    <row r="116" spans="1:6" ht="18" customHeight="1">
      <c r="A116" s="10"/>
      <c r="B116" s="76"/>
      <c r="C116" s="1"/>
      <c r="D116" s="66"/>
      <c r="F116" s="66"/>
    </row>
    <row r="117" spans="1:6" ht="18" customHeight="1">
      <c r="A117" s="10"/>
      <c r="B117" s="76"/>
      <c r="C117" s="1"/>
      <c r="D117" s="66"/>
      <c r="F117" s="66"/>
    </row>
    <row r="118" spans="1:6" ht="18" customHeight="1">
      <c r="A118" s="10"/>
      <c r="B118" s="76"/>
      <c r="C118" s="1"/>
      <c r="D118" s="66"/>
      <c r="F118" s="66"/>
    </row>
    <row r="119" spans="1:6" ht="18" customHeight="1">
      <c r="A119" s="10"/>
      <c r="B119" s="76"/>
      <c r="C119" s="1"/>
      <c r="D119" s="66"/>
      <c r="F119" s="66"/>
    </row>
    <row r="120" spans="1:6" ht="18" customHeight="1">
      <c r="A120" s="10"/>
      <c r="B120" s="76"/>
      <c r="C120" s="1"/>
      <c r="D120" s="66"/>
      <c r="F120" s="66"/>
    </row>
    <row r="121" spans="1:6" ht="18" customHeight="1">
      <c r="A121" s="10"/>
      <c r="B121" s="76"/>
      <c r="C121" s="1"/>
      <c r="D121" s="66"/>
      <c r="F121" s="66"/>
    </row>
    <row r="122" spans="1:6" ht="18" customHeight="1">
      <c r="A122" s="10"/>
      <c r="B122" s="76"/>
      <c r="C122" s="1"/>
      <c r="D122" s="66"/>
      <c r="F122" s="66"/>
    </row>
    <row r="123" spans="1:6" ht="18" customHeight="1">
      <c r="A123" s="10"/>
      <c r="B123" s="76"/>
      <c r="C123" s="1"/>
      <c r="D123" s="66"/>
      <c r="F123" s="66"/>
    </row>
    <row r="124" spans="1:6" ht="18" customHeight="1">
      <c r="A124" s="10"/>
      <c r="B124" s="76"/>
      <c r="C124" s="1"/>
      <c r="D124" s="66"/>
      <c r="F124" s="66"/>
    </row>
    <row r="125" spans="1:6" ht="18" customHeight="1">
      <c r="A125" s="10"/>
      <c r="B125" s="76"/>
      <c r="C125" s="1"/>
      <c r="D125" s="66"/>
      <c r="F125" s="66"/>
    </row>
    <row r="126" spans="1:6" ht="18" customHeight="1">
      <c r="A126" s="10"/>
      <c r="B126" s="76"/>
      <c r="C126" s="1"/>
      <c r="D126" s="66"/>
      <c r="F126" s="66"/>
    </row>
    <row r="127" spans="1:6" ht="18" customHeight="1">
      <c r="A127" s="10"/>
      <c r="B127" s="76"/>
      <c r="C127" s="1"/>
      <c r="D127" s="66"/>
      <c r="F127" s="66"/>
    </row>
    <row r="128" spans="1:6" ht="18" customHeight="1">
      <c r="A128" s="10"/>
      <c r="B128" s="76"/>
      <c r="C128" s="1"/>
      <c r="D128" s="66"/>
      <c r="F128" s="66"/>
    </row>
    <row r="129" spans="1:6" ht="18" customHeight="1">
      <c r="A129" s="10"/>
      <c r="B129" s="76"/>
      <c r="C129" s="1"/>
      <c r="D129" s="66"/>
      <c r="F129" s="66"/>
    </row>
    <row r="130" spans="1:6" ht="18" customHeight="1">
      <c r="A130" s="10"/>
      <c r="B130" s="76"/>
      <c r="C130" s="1"/>
      <c r="D130" s="66"/>
      <c r="F130" s="66"/>
    </row>
    <row r="131" spans="1:6" ht="18" customHeight="1">
      <c r="A131" s="3"/>
      <c r="B131" s="77"/>
      <c r="C131" s="3"/>
      <c r="D131" s="68"/>
      <c r="F131" s="68"/>
    </row>
    <row r="132" spans="1:6" ht="18" customHeight="1">
      <c r="A132" s="10"/>
      <c r="B132" s="76"/>
      <c r="C132" s="1"/>
      <c r="D132" s="66"/>
      <c r="F132" s="66"/>
    </row>
    <row r="133" spans="1:6" ht="18" customHeight="1">
      <c r="A133" s="10"/>
      <c r="B133" s="76"/>
      <c r="C133" s="1"/>
      <c r="D133" s="66"/>
      <c r="F133" s="66"/>
    </row>
    <row r="134" spans="1:6" ht="18" customHeight="1">
      <c r="A134" s="10"/>
      <c r="B134" s="76"/>
      <c r="C134" s="1"/>
      <c r="D134" s="66"/>
      <c r="F134" s="66"/>
    </row>
    <row r="135" spans="1:6" ht="18" customHeight="1">
      <c r="A135" s="10"/>
      <c r="B135" s="76"/>
      <c r="C135" s="1"/>
      <c r="D135" s="66"/>
      <c r="F135" s="66"/>
    </row>
    <row r="136" spans="1:6" ht="18" customHeight="1">
      <c r="A136" s="10"/>
      <c r="B136" s="76"/>
      <c r="C136" s="1"/>
      <c r="D136" s="66"/>
      <c r="F136" s="66"/>
    </row>
    <row r="137" spans="1:6" ht="18" customHeight="1">
      <c r="A137" s="10"/>
      <c r="B137" s="76"/>
      <c r="C137" s="1"/>
      <c r="D137" s="66"/>
      <c r="F137" s="66"/>
    </row>
    <row r="138" spans="1:6" ht="18" customHeight="1">
      <c r="A138" s="10"/>
      <c r="B138" s="76"/>
      <c r="C138" s="1"/>
      <c r="D138" s="66"/>
      <c r="F138" s="66"/>
    </row>
    <row r="139" spans="1:6" ht="18" customHeight="1">
      <c r="A139" s="10"/>
      <c r="B139" s="76"/>
      <c r="C139" s="1"/>
      <c r="D139" s="66"/>
      <c r="F139" s="66"/>
    </row>
    <row r="140" spans="1:6" ht="18" customHeight="1">
      <c r="A140" s="10"/>
      <c r="B140" s="76"/>
      <c r="C140" s="1"/>
      <c r="D140" s="66"/>
      <c r="F140" s="66"/>
    </row>
    <row r="141" spans="1:6" ht="18" customHeight="1">
      <c r="A141" s="10"/>
      <c r="B141" s="76"/>
      <c r="C141" s="1"/>
      <c r="D141" s="66"/>
      <c r="F141" s="66"/>
    </row>
    <row r="142" spans="1:6" ht="18" customHeight="1">
      <c r="A142" s="10"/>
      <c r="B142" s="76"/>
      <c r="C142" s="1"/>
      <c r="D142" s="66"/>
      <c r="F142" s="66"/>
    </row>
    <row r="143" spans="1:6" ht="18" customHeight="1">
      <c r="A143" s="10"/>
      <c r="B143" s="76"/>
      <c r="C143" s="1"/>
      <c r="D143" s="66"/>
      <c r="F143" s="66"/>
    </row>
    <row r="144" spans="1:6" ht="18" customHeight="1">
      <c r="A144" s="10"/>
      <c r="B144" s="76"/>
      <c r="C144" s="1"/>
      <c r="D144" s="66"/>
      <c r="F144" s="66"/>
    </row>
    <row r="145" spans="1:6" ht="18" customHeight="1">
      <c r="A145" s="10"/>
      <c r="B145" s="76"/>
      <c r="C145" s="1"/>
      <c r="D145" s="66"/>
      <c r="F145" s="66"/>
    </row>
    <row r="146" spans="1:6" ht="18" customHeight="1">
      <c r="A146" s="10"/>
      <c r="B146" s="76"/>
      <c r="C146" s="1"/>
      <c r="D146" s="66"/>
      <c r="F146" s="66"/>
    </row>
    <row r="147" spans="1:6" ht="18" customHeight="1">
      <c r="A147" s="10"/>
      <c r="B147" s="76"/>
      <c r="C147" s="1"/>
      <c r="D147" s="66"/>
      <c r="F147" s="66"/>
    </row>
    <row r="148" spans="1:6" ht="18" customHeight="1">
      <c r="A148" s="10"/>
      <c r="B148" s="76"/>
      <c r="C148" s="1"/>
      <c r="D148" s="66"/>
      <c r="F148" s="66"/>
    </row>
    <row r="149" spans="1:6" ht="18" customHeight="1">
      <c r="A149" s="10"/>
      <c r="B149" s="76"/>
      <c r="C149" s="1"/>
      <c r="D149" s="66"/>
      <c r="F149" s="66"/>
    </row>
    <row r="150" spans="1:6" ht="18" customHeight="1">
      <c r="A150" s="10"/>
      <c r="B150" s="76"/>
      <c r="C150" s="1"/>
      <c r="D150" s="66"/>
      <c r="F150" s="66"/>
    </row>
    <row r="151" spans="1:6" ht="18" customHeight="1">
      <c r="A151" s="10"/>
      <c r="B151" s="76"/>
      <c r="C151" s="1"/>
      <c r="D151" s="66"/>
      <c r="F151" s="66"/>
    </row>
    <row r="152" spans="1:6" ht="18" customHeight="1">
      <c r="A152" s="10"/>
      <c r="B152" s="76"/>
      <c r="C152" s="1"/>
      <c r="D152" s="66"/>
      <c r="F152" s="66"/>
    </row>
    <row r="153" spans="1:6" ht="18" customHeight="1">
      <c r="A153" s="10"/>
      <c r="B153" s="76"/>
      <c r="C153" s="1"/>
      <c r="D153" s="66"/>
      <c r="F153" s="66"/>
    </row>
    <row r="154" spans="1:6" ht="18" customHeight="1">
      <c r="A154" s="10"/>
      <c r="B154" s="76"/>
      <c r="C154" s="1"/>
      <c r="D154" s="66"/>
      <c r="F154" s="66"/>
    </row>
    <row r="155" spans="1:6" ht="18" customHeight="1">
      <c r="A155" s="10"/>
      <c r="B155" s="76"/>
      <c r="C155" s="1"/>
      <c r="D155" s="66"/>
      <c r="F155" s="66"/>
    </row>
    <row r="156" spans="1:6" ht="18" customHeight="1">
      <c r="A156" s="10"/>
      <c r="B156" s="76"/>
      <c r="C156" s="1"/>
      <c r="D156" s="66"/>
      <c r="F156" s="66"/>
    </row>
    <row r="157" spans="1:6" ht="18" customHeight="1">
      <c r="A157" s="10"/>
      <c r="B157" s="76"/>
      <c r="C157" s="1"/>
      <c r="D157" s="66"/>
      <c r="F157" s="66"/>
    </row>
    <row r="158" spans="1:6" ht="18" customHeight="1">
      <c r="A158" s="10"/>
      <c r="B158" s="76"/>
      <c r="C158" s="1"/>
      <c r="D158" s="66"/>
      <c r="F158" s="66"/>
    </row>
    <row r="159" spans="1:6" ht="18" customHeight="1">
      <c r="A159" s="10"/>
      <c r="B159" s="76"/>
      <c r="C159" s="1"/>
      <c r="D159" s="66"/>
      <c r="F159" s="66"/>
    </row>
    <row r="160" spans="1:6" ht="18" customHeight="1">
      <c r="A160" s="10"/>
      <c r="B160" s="76"/>
      <c r="C160" s="1"/>
      <c r="D160" s="66"/>
      <c r="F160" s="66"/>
    </row>
    <row r="161" spans="1:6" ht="18" customHeight="1">
      <c r="A161" s="10"/>
      <c r="B161" s="76"/>
      <c r="C161" s="1"/>
      <c r="D161" s="66"/>
      <c r="F161" s="66"/>
    </row>
    <row r="162" spans="1:6" ht="18" customHeight="1">
      <c r="A162" s="10"/>
      <c r="B162" s="76"/>
      <c r="C162" s="1"/>
      <c r="D162" s="66"/>
      <c r="F162" s="66"/>
    </row>
    <row r="163" spans="1:6" ht="18" customHeight="1">
      <c r="A163" s="10"/>
      <c r="B163" s="76"/>
      <c r="C163" s="1"/>
      <c r="D163" s="66"/>
      <c r="F163" s="66"/>
    </row>
    <row r="164" spans="1:6" ht="18" customHeight="1">
      <c r="A164" s="10"/>
      <c r="B164" s="76"/>
      <c r="C164" s="1"/>
      <c r="D164" s="66"/>
      <c r="F164" s="66"/>
    </row>
    <row r="165" spans="1:6" ht="18" customHeight="1">
      <c r="A165" s="10"/>
      <c r="B165" s="76"/>
      <c r="C165" s="1"/>
      <c r="D165" s="66"/>
      <c r="F165" s="66"/>
    </row>
    <row r="166" spans="1:6" ht="18" customHeight="1">
      <c r="A166" s="10"/>
      <c r="B166" s="76"/>
      <c r="C166" s="1"/>
      <c r="D166" s="66"/>
      <c r="F166" s="66"/>
    </row>
    <row r="167" spans="1:6" ht="18" customHeight="1">
      <c r="A167" s="10"/>
      <c r="B167" s="76"/>
      <c r="C167" s="1"/>
      <c r="D167" s="66"/>
      <c r="F167" s="66"/>
    </row>
    <row r="168" spans="1:6" ht="18" customHeight="1">
      <c r="A168" s="10"/>
      <c r="B168" s="76"/>
      <c r="C168" s="1"/>
      <c r="D168" s="66"/>
      <c r="F168" s="66"/>
    </row>
    <row r="169" spans="1:6" ht="18" customHeight="1">
      <c r="A169" s="10"/>
      <c r="B169" s="76"/>
      <c r="C169" s="1"/>
      <c r="D169" s="66"/>
      <c r="F169" s="66"/>
    </row>
    <row r="170" spans="1:6" ht="18" customHeight="1">
      <c r="A170" s="10"/>
      <c r="B170" s="76"/>
      <c r="C170" s="1"/>
      <c r="D170" s="66"/>
      <c r="F170" s="66"/>
    </row>
    <row r="171" spans="1:6" ht="18" customHeight="1">
      <c r="A171" s="10"/>
      <c r="B171" s="76"/>
      <c r="C171" s="1"/>
      <c r="D171" s="66"/>
      <c r="F171" s="66"/>
    </row>
    <row r="172" spans="1:6" ht="18" customHeight="1">
      <c r="A172" s="10"/>
      <c r="B172" s="76"/>
      <c r="C172" s="1"/>
      <c r="D172" s="66"/>
      <c r="F172" s="66"/>
    </row>
    <row r="173" spans="1:6" ht="18" customHeight="1">
      <c r="A173" s="10"/>
      <c r="B173" s="76"/>
      <c r="C173" s="1"/>
      <c r="D173" s="66"/>
      <c r="F173" s="66"/>
    </row>
    <row r="174" spans="1:6" ht="18" customHeight="1">
      <c r="A174" s="10"/>
      <c r="B174" s="76"/>
      <c r="C174" s="1"/>
      <c r="D174" s="66"/>
      <c r="F174" s="66"/>
    </row>
    <row r="175" spans="1:6" ht="18" customHeight="1">
      <c r="A175" s="10"/>
      <c r="B175" s="76"/>
      <c r="C175" s="1"/>
      <c r="D175" s="66"/>
      <c r="F175" s="66"/>
    </row>
    <row r="176" spans="1:6" ht="18" customHeight="1">
      <c r="A176" s="10"/>
      <c r="B176" s="76"/>
      <c r="C176" s="1"/>
      <c r="D176" s="66"/>
      <c r="F176" s="66"/>
    </row>
    <row r="177" spans="1:6" ht="18" customHeight="1">
      <c r="A177" s="10"/>
      <c r="B177" s="76"/>
      <c r="C177" s="1"/>
      <c r="D177" s="66"/>
      <c r="F177" s="66"/>
    </row>
    <row r="178" spans="1:6" ht="18" customHeight="1">
      <c r="A178" s="10"/>
      <c r="B178" s="76"/>
      <c r="C178" s="1"/>
      <c r="D178" s="66"/>
      <c r="F178" s="66"/>
    </row>
    <row r="179" spans="1:6" ht="18" customHeight="1">
      <c r="A179" s="10"/>
      <c r="B179" s="76"/>
      <c r="C179" s="1"/>
      <c r="D179" s="66"/>
      <c r="F179" s="66"/>
    </row>
    <row r="180" spans="1:6" ht="18" customHeight="1">
      <c r="A180" s="10"/>
      <c r="B180" s="76"/>
      <c r="C180" s="1"/>
      <c r="D180" s="66"/>
      <c r="F180" s="66"/>
    </row>
    <row r="181" spans="1:6" ht="18" customHeight="1">
      <c r="A181" s="10"/>
      <c r="B181" s="76"/>
      <c r="C181" s="1"/>
      <c r="D181" s="66"/>
      <c r="F181" s="66"/>
    </row>
    <row r="182" spans="1:6" ht="18" customHeight="1">
      <c r="A182" s="10"/>
      <c r="B182" s="76"/>
      <c r="C182" s="1"/>
      <c r="D182" s="66"/>
      <c r="F182" s="66"/>
    </row>
    <row r="183" spans="1:6" ht="18" customHeight="1">
      <c r="A183" s="10"/>
      <c r="B183" s="76"/>
      <c r="C183" s="1"/>
      <c r="D183" s="66"/>
      <c r="F183" s="66"/>
    </row>
    <row r="184" spans="1:6" ht="18" customHeight="1">
      <c r="A184" s="10"/>
      <c r="B184" s="76"/>
      <c r="C184" s="1"/>
      <c r="D184" s="66"/>
      <c r="F184" s="66"/>
    </row>
    <row r="185" spans="1:6" ht="18" customHeight="1">
      <c r="A185" s="10"/>
      <c r="B185" s="76"/>
      <c r="C185" s="1"/>
      <c r="D185" s="66"/>
      <c r="F185" s="66"/>
    </row>
    <row r="186" spans="1:6" ht="18" customHeight="1">
      <c r="A186" s="10"/>
      <c r="B186" s="76"/>
      <c r="C186" s="1"/>
      <c r="D186" s="66"/>
      <c r="F186" s="66"/>
    </row>
    <row r="187" spans="1:6" ht="18" customHeight="1">
      <c r="A187" s="10"/>
      <c r="B187" s="76"/>
      <c r="C187" s="1"/>
      <c r="D187" s="66"/>
      <c r="F187" s="66"/>
    </row>
    <row r="188" spans="1:6" ht="18" customHeight="1">
      <c r="A188" s="10"/>
      <c r="B188" s="76"/>
      <c r="C188" s="1"/>
      <c r="D188" s="66"/>
      <c r="F188" s="66"/>
    </row>
    <row r="189" spans="1:6" ht="18" customHeight="1">
      <c r="A189" s="10"/>
      <c r="B189" s="76"/>
      <c r="C189" s="1"/>
      <c r="D189" s="66"/>
      <c r="F189" s="66"/>
    </row>
    <row r="190" spans="1:6" ht="18" customHeight="1">
      <c r="A190" s="10"/>
      <c r="B190" s="76"/>
      <c r="C190" s="1"/>
      <c r="D190" s="66"/>
      <c r="F190" s="66"/>
    </row>
    <row r="191" spans="1:6" ht="18" customHeight="1">
      <c r="A191" s="10"/>
      <c r="B191" s="76"/>
      <c r="C191" s="1"/>
      <c r="D191" s="66"/>
      <c r="F191" s="66"/>
    </row>
    <row r="192" spans="1:6" ht="18" customHeight="1">
      <c r="A192" s="10"/>
      <c r="B192" s="76"/>
      <c r="C192" s="1"/>
      <c r="D192" s="66"/>
      <c r="F192" s="66"/>
    </row>
    <row r="193" spans="1:7" ht="18" customHeight="1">
      <c r="A193" s="10"/>
      <c r="B193" s="76"/>
      <c r="C193" s="1"/>
      <c r="D193" s="66"/>
      <c r="F193" s="66"/>
    </row>
    <row r="194" spans="1:7" ht="18" customHeight="1">
      <c r="A194" s="10"/>
      <c r="B194" s="76"/>
      <c r="C194" s="1"/>
      <c r="D194" s="66"/>
      <c r="F194" s="66"/>
    </row>
    <row r="195" spans="1:7" ht="18" customHeight="1">
      <c r="A195" s="10"/>
      <c r="B195" s="76"/>
      <c r="C195" s="1"/>
      <c r="D195" s="66"/>
      <c r="F195" s="66"/>
    </row>
    <row r="196" spans="1:7" ht="18" customHeight="1">
      <c r="A196" s="10"/>
      <c r="B196" s="76"/>
      <c r="C196" s="1"/>
      <c r="D196" s="66"/>
      <c r="F196" s="66"/>
    </row>
    <row r="197" spans="1:7" ht="18" customHeight="1">
      <c r="A197" s="10"/>
      <c r="B197" s="76"/>
      <c r="C197" s="1"/>
      <c r="D197" s="66"/>
      <c r="F197" s="66"/>
    </row>
    <row r="198" spans="1:7" ht="18" customHeight="1">
      <c r="A198" s="10"/>
      <c r="B198" s="76"/>
      <c r="C198" s="1"/>
      <c r="D198" s="66"/>
      <c r="F198" s="66"/>
    </row>
    <row r="199" spans="1:7" ht="18" customHeight="1">
      <c r="A199" s="10"/>
      <c r="B199" s="76"/>
      <c r="C199" s="1"/>
      <c r="D199" s="66"/>
      <c r="F199" s="66"/>
    </row>
    <row r="200" spans="1:7" ht="18" customHeight="1">
      <c r="A200" s="10"/>
      <c r="B200" s="76"/>
      <c r="C200" s="1"/>
      <c r="D200" s="66"/>
      <c r="F200" s="66"/>
    </row>
    <row r="201" spans="1:7" ht="18" customHeight="1">
      <c r="A201" s="10"/>
      <c r="B201" s="76"/>
      <c r="C201" s="1"/>
      <c r="D201" s="66"/>
      <c r="F201" s="66"/>
    </row>
    <row r="202" spans="1:7" ht="18" customHeight="1">
      <c r="A202" s="10"/>
      <c r="B202" s="76"/>
      <c r="C202" s="1"/>
      <c r="D202" s="66"/>
      <c r="F202" s="66"/>
    </row>
    <row r="203" spans="1:7" ht="18" customHeight="1">
      <c r="A203" s="10"/>
      <c r="B203" s="76"/>
      <c r="C203" s="1"/>
      <c r="D203" s="66"/>
      <c r="F203" s="66"/>
    </row>
    <row r="204" spans="1:7" ht="18" customHeight="1">
      <c r="A204" s="10"/>
      <c r="B204" s="76"/>
      <c r="C204" s="1"/>
      <c r="D204" s="66"/>
      <c r="F204" s="66"/>
    </row>
    <row r="205" spans="1:7" ht="36" customHeight="1">
      <c r="A205" s="109"/>
      <c r="B205" s="109"/>
      <c r="C205" s="109"/>
      <c r="D205" s="109"/>
      <c r="E205" s="109"/>
      <c r="F205" s="109"/>
      <c r="G205" s="109"/>
    </row>
  </sheetData>
  <sortState xmlns:xlrd2="http://schemas.microsoft.com/office/spreadsheetml/2017/richdata2" ref="C8:G60">
    <sortCondition ref="C8"/>
  </sortState>
  <mergeCells count="7">
    <mergeCell ref="A205:G205"/>
    <mergeCell ref="A1:G1"/>
    <mergeCell ref="A2:A3"/>
    <mergeCell ref="C2:C3"/>
    <mergeCell ref="F2:G3"/>
    <mergeCell ref="B2:B3"/>
    <mergeCell ref="D2:E3"/>
  </mergeCells>
  <pageMargins left="0.25" right="0.25" top="0.75" bottom="0.75" header="0.3" footer="0.3"/>
  <pageSetup paperSize="9" scale="8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49"/>
  <sheetViews>
    <sheetView topLeftCell="A99" zoomScaleNormal="100" zoomScaleSheetLayoutView="100" workbookViewId="0">
      <selection activeCell="A110" sqref="A110"/>
    </sheetView>
  </sheetViews>
  <sheetFormatPr defaultRowHeight="15"/>
  <cols>
    <col min="1" max="1" width="7" style="8" customWidth="1"/>
    <col min="2" max="2" width="29.28515625" style="8" hidden="1" customWidth="1"/>
    <col min="3" max="3" width="62.28515625" style="8" bestFit="1" customWidth="1"/>
    <col min="4" max="4" width="18.5703125" style="93" bestFit="1" customWidth="1"/>
    <col min="5" max="5" width="16.42578125" style="93" bestFit="1" customWidth="1"/>
    <col min="6" max="6" width="12.85546875" style="64" bestFit="1" customWidth="1"/>
    <col min="7" max="7" width="19.85546875" style="64" customWidth="1"/>
    <col min="8" max="10" width="9.140625" style="8"/>
    <col min="11" max="11" width="11.85546875" style="8" bestFit="1" customWidth="1"/>
    <col min="12" max="16384" width="9.140625" style="8"/>
  </cols>
  <sheetData>
    <row r="1" spans="1:5" ht="21" customHeight="1">
      <c r="A1" s="116">
        <v>45176</v>
      </c>
      <c r="B1" s="116"/>
      <c r="C1" s="116"/>
      <c r="D1" s="116"/>
      <c r="E1" s="116"/>
    </row>
    <row r="2" spans="1:5" ht="18" customHeight="1">
      <c r="A2" s="111" t="s">
        <v>55</v>
      </c>
      <c r="B2" s="118" t="s">
        <v>2534</v>
      </c>
      <c r="C2" s="111" t="s">
        <v>56</v>
      </c>
      <c r="D2" s="112" t="s">
        <v>2532</v>
      </c>
      <c r="E2" s="112"/>
    </row>
    <row r="3" spans="1:5" ht="18" customHeight="1">
      <c r="A3" s="111"/>
      <c r="B3" s="119"/>
      <c r="C3" s="111"/>
      <c r="D3" s="112"/>
      <c r="E3" s="112"/>
    </row>
    <row r="4" spans="1:5" ht="18" customHeight="1">
      <c r="A4" s="117" t="s">
        <v>127</v>
      </c>
      <c r="B4" s="117"/>
      <c r="C4" s="117"/>
      <c r="D4" s="88" t="s">
        <v>79</v>
      </c>
      <c r="E4" s="88" t="s">
        <v>80</v>
      </c>
    </row>
    <row r="5" spans="1:5" ht="18" customHeight="1">
      <c r="A5" s="9">
        <v>1</v>
      </c>
      <c r="B5" s="9" t="s">
        <v>2029</v>
      </c>
      <c r="C5" s="4" t="s">
        <v>2476</v>
      </c>
      <c r="D5" s="55">
        <v>40000</v>
      </c>
      <c r="E5" s="89">
        <v>37500</v>
      </c>
    </row>
    <row r="6" spans="1:5" ht="18" customHeight="1">
      <c r="A6" s="9">
        <v>2</v>
      </c>
      <c r="B6" s="9" t="s">
        <v>2535</v>
      </c>
      <c r="C6" s="4" t="s">
        <v>2483</v>
      </c>
      <c r="D6" s="58">
        <v>225000</v>
      </c>
      <c r="E6" s="89">
        <v>370000</v>
      </c>
    </row>
    <row r="7" spans="1:5" ht="18" customHeight="1">
      <c r="A7" s="9">
        <v>3</v>
      </c>
      <c r="B7" s="9" t="s">
        <v>2016</v>
      </c>
      <c r="C7" s="4" t="s">
        <v>2484</v>
      </c>
      <c r="D7" s="58">
        <v>340000</v>
      </c>
      <c r="E7" s="89">
        <v>370000</v>
      </c>
    </row>
    <row r="8" spans="1:5" ht="18" customHeight="1">
      <c r="A8" s="9">
        <v>4</v>
      </c>
      <c r="B8" s="9" t="e">
        <v>#N/A</v>
      </c>
      <c r="C8" s="4" t="s">
        <v>2493</v>
      </c>
      <c r="D8" s="58">
        <v>450000</v>
      </c>
      <c r="E8" s="89">
        <v>0</v>
      </c>
    </row>
    <row r="9" spans="1:5" ht="18" customHeight="1">
      <c r="A9" s="9">
        <v>5</v>
      </c>
      <c r="B9" s="9" t="e">
        <v>#N/A</v>
      </c>
      <c r="C9" s="4" t="s">
        <v>2494</v>
      </c>
      <c r="D9" s="58">
        <v>565000</v>
      </c>
      <c r="E9" s="89">
        <v>0</v>
      </c>
    </row>
    <row r="10" spans="1:5" ht="18" customHeight="1">
      <c r="A10" s="9">
        <v>6</v>
      </c>
      <c r="B10" s="9" t="e">
        <v>#N/A</v>
      </c>
      <c r="C10" s="4" t="s">
        <v>2495</v>
      </c>
      <c r="D10" s="58">
        <v>675000</v>
      </c>
      <c r="E10" s="89">
        <v>0</v>
      </c>
    </row>
    <row r="11" spans="1:5" ht="18" customHeight="1">
      <c r="A11" s="9">
        <v>7</v>
      </c>
      <c r="B11" s="9" t="s">
        <v>2019</v>
      </c>
      <c r="C11" s="7" t="s">
        <v>256</v>
      </c>
      <c r="D11" s="89">
        <v>550000</v>
      </c>
      <c r="E11" s="89">
        <v>550000</v>
      </c>
    </row>
    <row r="12" spans="1:5" ht="18" customHeight="1">
      <c r="A12" s="9">
        <v>8</v>
      </c>
      <c r="B12" s="9" t="s">
        <v>2020</v>
      </c>
      <c r="C12" s="7" t="s">
        <v>10</v>
      </c>
      <c r="D12" s="89">
        <v>775000</v>
      </c>
      <c r="E12" s="89">
        <v>775000</v>
      </c>
    </row>
    <row r="13" spans="1:5" ht="18" customHeight="1">
      <c r="A13" s="9">
        <v>9</v>
      </c>
      <c r="B13" s="9" t="s">
        <v>2021</v>
      </c>
      <c r="C13" s="7" t="s">
        <v>242</v>
      </c>
      <c r="D13" s="89">
        <v>1000000</v>
      </c>
      <c r="E13" s="89">
        <v>1000000</v>
      </c>
    </row>
    <row r="14" spans="1:5" ht="18" customHeight="1">
      <c r="A14" s="9">
        <v>10</v>
      </c>
      <c r="B14" s="9" t="s">
        <v>2022</v>
      </c>
      <c r="C14" s="7" t="s">
        <v>267</v>
      </c>
      <c r="D14" s="89">
        <v>600000</v>
      </c>
      <c r="E14" s="89">
        <v>600000</v>
      </c>
    </row>
    <row r="15" spans="1:5" ht="18" customHeight="1">
      <c r="A15" s="9">
        <v>11</v>
      </c>
      <c r="B15" s="9" t="s">
        <v>2023</v>
      </c>
      <c r="C15" s="7" t="s">
        <v>11</v>
      </c>
      <c r="D15" s="89">
        <v>850000</v>
      </c>
      <c r="E15" s="89">
        <v>850000</v>
      </c>
    </row>
    <row r="16" spans="1:5" ht="18" customHeight="1">
      <c r="A16" s="9">
        <v>12</v>
      </c>
      <c r="B16" s="9" t="e">
        <v>#N/A</v>
      </c>
      <c r="C16" s="7" t="s">
        <v>2488</v>
      </c>
      <c r="D16" s="89">
        <v>1100000</v>
      </c>
      <c r="E16" s="89">
        <v>1100000</v>
      </c>
    </row>
    <row r="17" spans="1:6" ht="18" customHeight="1">
      <c r="A17" s="9">
        <v>13</v>
      </c>
      <c r="B17" s="9" t="s">
        <v>2024</v>
      </c>
      <c r="C17" s="7" t="s">
        <v>255</v>
      </c>
      <c r="D17" s="89">
        <v>1600000</v>
      </c>
      <c r="E17" s="89">
        <v>1600000</v>
      </c>
    </row>
    <row r="18" spans="1:6" ht="18" customHeight="1">
      <c r="A18" s="9">
        <v>14</v>
      </c>
      <c r="B18" s="9" t="s">
        <v>2025</v>
      </c>
      <c r="C18" s="4" t="s">
        <v>2485</v>
      </c>
      <c r="D18" s="58">
        <v>385000</v>
      </c>
      <c r="E18" s="54">
        <v>520000</v>
      </c>
    </row>
    <row r="19" spans="1:6" ht="18" customHeight="1">
      <c r="A19" s="9">
        <v>15</v>
      </c>
      <c r="B19" s="9" t="s">
        <v>2536</v>
      </c>
      <c r="C19" s="7" t="s">
        <v>2486</v>
      </c>
      <c r="D19" s="89">
        <v>425000</v>
      </c>
      <c r="E19" s="89">
        <v>557500</v>
      </c>
    </row>
    <row r="20" spans="1:6" ht="18" customHeight="1">
      <c r="A20" s="9">
        <v>16</v>
      </c>
      <c r="B20" s="9" t="s">
        <v>2537</v>
      </c>
      <c r="C20" s="7" t="s">
        <v>2487</v>
      </c>
      <c r="D20" s="89">
        <v>580000</v>
      </c>
      <c r="E20" s="89">
        <v>595000</v>
      </c>
    </row>
    <row r="21" spans="1:6" ht="18" customHeight="1">
      <c r="A21" s="9">
        <v>17</v>
      </c>
      <c r="B21" s="9" t="s">
        <v>1960</v>
      </c>
      <c r="C21" s="4" t="s">
        <v>214</v>
      </c>
      <c r="D21" s="55">
        <v>65000</v>
      </c>
      <c r="E21" s="55">
        <v>65000</v>
      </c>
      <c r="F21" s="81"/>
    </row>
    <row r="22" spans="1:6" ht="18" customHeight="1">
      <c r="A22" s="9">
        <v>18</v>
      </c>
      <c r="B22" s="9" t="s">
        <v>1976</v>
      </c>
      <c r="C22" s="4" t="s">
        <v>212</v>
      </c>
      <c r="D22" s="55">
        <v>165000</v>
      </c>
      <c r="E22" s="55">
        <v>165000</v>
      </c>
      <c r="F22" s="81"/>
    </row>
    <row r="23" spans="1:6" ht="18" customHeight="1">
      <c r="A23" s="9">
        <v>19</v>
      </c>
      <c r="B23" s="9" t="s">
        <v>1992</v>
      </c>
      <c r="C23" s="4" t="s">
        <v>213</v>
      </c>
      <c r="D23" s="55">
        <v>515000</v>
      </c>
      <c r="E23" s="55">
        <v>515000</v>
      </c>
      <c r="F23" s="81"/>
    </row>
    <row r="24" spans="1:6" ht="18" customHeight="1">
      <c r="A24" s="9">
        <v>20</v>
      </c>
      <c r="B24" s="9" t="s">
        <v>1962</v>
      </c>
      <c r="C24" s="4" t="s">
        <v>219</v>
      </c>
      <c r="D24" s="55">
        <v>65000</v>
      </c>
      <c r="E24" s="89">
        <v>75000</v>
      </c>
      <c r="F24" s="81"/>
    </row>
    <row r="25" spans="1:6" ht="18" customHeight="1">
      <c r="A25" s="9">
        <v>21</v>
      </c>
      <c r="B25" s="9" t="s">
        <v>1978</v>
      </c>
      <c r="C25" s="4" t="s">
        <v>217</v>
      </c>
      <c r="D25" s="55">
        <v>65000</v>
      </c>
      <c r="E25" s="55">
        <v>65000</v>
      </c>
      <c r="F25" s="81"/>
    </row>
    <row r="26" spans="1:6" ht="18" customHeight="1">
      <c r="A26" s="9">
        <v>22</v>
      </c>
      <c r="B26" s="9" t="s">
        <v>1994</v>
      </c>
      <c r="C26" s="4" t="s">
        <v>218</v>
      </c>
      <c r="D26" s="55">
        <v>515000</v>
      </c>
      <c r="E26" s="89">
        <v>500000</v>
      </c>
      <c r="F26" s="81"/>
    </row>
    <row r="27" spans="1:6" ht="18.75" customHeight="1">
      <c r="A27" s="9">
        <v>23</v>
      </c>
      <c r="B27" s="9" t="s">
        <v>1964</v>
      </c>
      <c r="C27" s="4" t="s">
        <v>191</v>
      </c>
      <c r="D27" s="55">
        <v>65000</v>
      </c>
      <c r="E27" s="89">
        <v>90000</v>
      </c>
      <c r="F27" s="81"/>
    </row>
    <row r="28" spans="1:6" ht="18" customHeight="1">
      <c r="A28" s="9">
        <v>24</v>
      </c>
      <c r="B28" s="9" t="s">
        <v>1980</v>
      </c>
      <c r="C28" s="4" t="s">
        <v>197</v>
      </c>
      <c r="D28" s="55">
        <v>165000</v>
      </c>
      <c r="E28" s="89">
        <v>150000</v>
      </c>
      <c r="F28" s="81"/>
    </row>
    <row r="29" spans="1:6" ht="18" customHeight="1">
      <c r="A29" s="9">
        <v>25</v>
      </c>
      <c r="B29" s="9" t="s">
        <v>1996</v>
      </c>
      <c r="C29" s="4" t="s">
        <v>201</v>
      </c>
      <c r="D29" s="55">
        <v>515000</v>
      </c>
      <c r="E29" s="89">
        <v>500000</v>
      </c>
      <c r="F29" s="81"/>
    </row>
    <row r="30" spans="1:6" ht="18" customHeight="1">
      <c r="A30" s="9">
        <v>26</v>
      </c>
      <c r="B30" s="9" t="s">
        <v>1966</v>
      </c>
      <c r="C30" s="4" t="s">
        <v>192</v>
      </c>
      <c r="D30" s="55">
        <v>85000</v>
      </c>
      <c r="E30" s="89">
        <v>120000</v>
      </c>
      <c r="F30" s="81"/>
    </row>
    <row r="31" spans="1:6" ht="18" customHeight="1">
      <c r="A31" s="9">
        <v>27</v>
      </c>
      <c r="B31" s="9" t="s">
        <v>1982</v>
      </c>
      <c r="C31" s="4" t="s">
        <v>198</v>
      </c>
      <c r="D31" s="55">
        <v>165000</v>
      </c>
      <c r="E31" s="89">
        <v>150000</v>
      </c>
      <c r="F31" s="81"/>
    </row>
    <row r="32" spans="1:6" ht="18" customHeight="1">
      <c r="A32" s="9">
        <v>28</v>
      </c>
      <c r="B32" s="9" t="s">
        <v>1998</v>
      </c>
      <c r="C32" s="4" t="s">
        <v>202</v>
      </c>
      <c r="D32" s="55">
        <v>515000</v>
      </c>
      <c r="E32" s="89">
        <v>500000</v>
      </c>
      <c r="F32" s="81"/>
    </row>
    <row r="33" spans="1:6" ht="18" customHeight="1">
      <c r="A33" s="9">
        <v>29</v>
      </c>
      <c r="B33" s="9" t="s">
        <v>1968</v>
      </c>
      <c r="C33" s="4" t="s">
        <v>193</v>
      </c>
      <c r="D33" s="55">
        <v>105000</v>
      </c>
      <c r="E33" s="89">
        <v>140000</v>
      </c>
      <c r="F33" s="81"/>
    </row>
    <row r="34" spans="1:6" ht="18" customHeight="1">
      <c r="A34" s="9">
        <v>30</v>
      </c>
      <c r="B34" s="9" t="s">
        <v>1984</v>
      </c>
      <c r="C34" s="4" t="s">
        <v>199</v>
      </c>
      <c r="D34" s="55">
        <v>165000</v>
      </c>
      <c r="E34" s="55">
        <v>165000</v>
      </c>
      <c r="F34" s="81"/>
    </row>
    <row r="35" spans="1:6" ht="18" customHeight="1">
      <c r="A35" s="9">
        <v>31</v>
      </c>
      <c r="B35" s="9" t="s">
        <v>2000</v>
      </c>
      <c r="C35" s="4" t="s">
        <v>203</v>
      </c>
      <c r="D35" s="55">
        <v>515000</v>
      </c>
      <c r="E35" s="89">
        <v>500000</v>
      </c>
      <c r="F35" s="81">
        <v>975000</v>
      </c>
    </row>
    <row r="36" spans="1:6" ht="18" customHeight="1">
      <c r="A36" s="9">
        <v>32</v>
      </c>
      <c r="B36" s="9" t="s">
        <v>1970</v>
      </c>
      <c r="C36" s="4" t="s">
        <v>152</v>
      </c>
      <c r="D36" s="89">
        <v>140000</v>
      </c>
      <c r="E36" s="89">
        <v>150000</v>
      </c>
      <c r="F36" s="81">
        <v>975000</v>
      </c>
    </row>
    <row r="37" spans="1:6" ht="18" customHeight="1">
      <c r="A37" s="9">
        <v>33</v>
      </c>
      <c r="B37" s="9" t="s">
        <v>1972</v>
      </c>
      <c r="C37" s="4" t="s">
        <v>194</v>
      </c>
      <c r="D37" s="55">
        <v>140000</v>
      </c>
      <c r="E37" s="89">
        <v>170000</v>
      </c>
      <c r="F37" s="81"/>
    </row>
    <row r="38" spans="1:6" ht="18" customHeight="1">
      <c r="A38" s="9">
        <v>34</v>
      </c>
      <c r="B38" s="9" t="s">
        <v>1974</v>
      </c>
      <c r="C38" s="4" t="s">
        <v>195</v>
      </c>
      <c r="D38" s="55">
        <v>165000</v>
      </c>
      <c r="E38" s="89">
        <v>195000</v>
      </c>
      <c r="F38" s="81"/>
    </row>
    <row r="39" spans="1:6" ht="18" customHeight="1">
      <c r="A39" s="9">
        <v>35</v>
      </c>
      <c r="B39" s="9" t="e">
        <v>#N/A</v>
      </c>
      <c r="C39" s="4" t="s">
        <v>200</v>
      </c>
      <c r="D39" s="55">
        <v>245000</v>
      </c>
      <c r="E39" s="89">
        <v>245000</v>
      </c>
      <c r="F39" s="81"/>
    </row>
    <row r="40" spans="1:6" ht="18" customHeight="1">
      <c r="A40" s="9">
        <v>36</v>
      </c>
      <c r="B40" s="9" t="e">
        <v>#N/A</v>
      </c>
      <c r="C40" s="4" t="s">
        <v>2580</v>
      </c>
      <c r="D40" s="55">
        <v>410000</v>
      </c>
      <c r="E40" s="89">
        <v>410000</v>
      </c>
      <c r="F40" s="81"/>
    </row>
    <row r="41" spans="1:6" ht="18" customHeight="1">
      <c r="A41" s="9">
        <v>36</v>
      </c>
      <c r="B41" s="9" t="e">
        <v>#N/A</v>
      </c>
      <c r="C41" s="4" t="s">
        <v>2578</v>
      </c>
      <c r="D41" s="55">
        <v>470000</v>
      </c>
      <c r="E41" s="55">
        <v>470000</v>
      </c>
      <c r="F41" s="81"/>
    </row>
    <row r="42" spans="1:6" ht="18" customHeight="1">
      <c r="A42" s="9">
        <v>36</v>
      </c>
      <c r="B42" s="9" t="e">
        <v>#N/A</v>
      </c>
      <c r="C42" s="4" t="s">
        <v>2579</v>
      </c>
      <c r="D42" s="55">
        <v>530000</v>
      </c>
      <c r="E42" s="89"/>
      <c r="F42" s="81"/>
    </row>
    <row r="43" spans="1:6" ht="18" customHeight="1">
      <c r="A43" s="9">
        <v>37</v>
      </c>
      <c r="B43" s="9" t="e">
        <v>#N/A</v>
      </c>
      <c r="C43" s="4" t="s">
        <v>2479</v>
      </c>
      <c r="D43" s="55">
        <v>850000</v>
      </c>
      <c r="E43" s="89"/>
    </row>
    <row r="44" spans="1:6" ht="18" customHeight="1">
      <c r="A44" s="9">
        <v>38</v>
      </c>
      <c r="B44" s="9" t="e">
        <v>#N/A</v>
      </c>
      <c r="C44" s="4" t="s">
        <v>2491</v>
      </c>
      <c r="D44" s="55">
        <v>1650000</v>
      </c>
      <c r="E44" s="55"/>
    </row>
    <row r="45" spans="1:6" ht="18" customHeight="1">
      <c r="A45" s="9">
        <v>39</v>
      </c>
      <c r="B45" s="9" t="s">
        <v>1936</v>
      </c>
      <c r="C45" s="15" t="s">
        <v>13</v>
      </c>
      <c r="D45" s="56">
        <v>100000</v>
      </c>
      <c r="E45" s="56">
        <v>100000</v>
      </c>
      <c r="F45" s="82"/>
    </row>
    <row r="46" spans="1:6" ht="18" customHeight="1">
      <c r="A46" s="9">
        <v>40</v>
      </c>
      <c r="B46" s="9" t="s">
        <v>1935</v>
      </c>
      <c r="C46" s="15" t="s">
        <v>12</v>
      </c>
      <c r="D46" s="56">
        <v>270000</v>
      </c>
      <c r="E46" s="56">
        <v>165000</v>
      </c>
    </row>
    <row r="47" spans="1:6" ht="18" customHeight="1">
      <c r="A47" s="9">
        <v>41</v>
      </c>
      <c r="B47" s="9" t="s">
        <v>1937</v>
      </c>
      <c r="C47" s="15" t="s">
        <v>272</v>
      </c>
      <c r="D47" s="56">
        <v>360000</v>
      </c>
      <c r="E47" s="56">
        <v>360000</v>
      </c>
    </row>
    <row r="48" spans="1:6" ht="18" customHeight="1">
      <c r="A48" s="9">
        <v>42</v>
      </c>
      <c r="B48" s="9" t="s">
        <v>1938</v>
      </c>
      <c r="C48" s="15" t="s">
        <v>273</v>
      </c>
      <c r="D48" s="56">
        <v>405000</v>
      </c>
      <c r="E48" s="56">
        <v>405000</v>
      </c>
    </row>
    <row r="49" spans="1:7" ht="18" customHeight="1">
      <c r="A49" s="9">
        <v>43</v>
      </c>
      <c r="B49" s="9" t="s">
        <v>864</v>
      </c>
      <c r="C49" s="4" t="s">
        <v>186</v>
      </c>
      <c r="D49" s="55">
        <v>50000</v>
      </c>
      <c r="E49" s="89">
        <v>60000</v>
      </c>
      <c r="F49" s="80"/>
    </row>
    <row r="50" spans="1:7" ht="18" customHeight="1">
      <c r="A50" s="9">
        <v>44</v>
      </c>
      <c r="B50" s="9" t="s">
        <v>1909</v>
      </c>
      <c r="C50" s="4" t="s">
        <v>183</v>
      </c>
      <c r="D50" s="55">
        <v>40000</v>
      </c>
      <c r="E50" s="89">
        <v>40000</v>
      </c>
      <c r="F50" s="80"/>
    </row>
    <row r="51" spans="1:7" ht="18" hidden="1" customHeight="1">
      <c r="A51" s="9">
        <v>45</v>
      </c>
      <c r="B51" s="9"/>
      <c r="C51" s="4" t="s">
        <v>175</v>
      </c>
      <c r="D51" s="55">
        <v>30000</v>
      </c>
      <c r="E51" s="90" t="s">
        <v>141</v>
      </c>
      <c r="F51" s="80"/>
    </row>
    <row r="52" spans="1:7" ht="18" hidden="1" customHeight="1">
      <c r="A52" s="9">
        <v>46</v>
      </c>
      <c r="B52" s="9"/>
      <c r="C52" s="4" t="s">
        <v>176</v>
      </c>
      <c r="D52" s="55">
        <v>30000</v>
      </c>
      <c r="E52" s="90"/>
      <c r="F52" s="80"/>
    </row>
    <row r="53" spans="1:7" ht="18" customHeight="1">
      <c r="A53" s="9">
        <v>47</v>
      </c>
      <c r="B53" s="9" t="s">
        <v>1911</v>
      </c>
      <c r="C53" s="4" t="s">
        <v>184</v>
      </c>
      <c r="D53" s="55">
        <v>50000</v>
      </c>
      <c r="E53" s="89">
        <v>50000</v>
      </c>
      <c r="F53" s="115"/>
    </row>
    <row r="54" spans="1:7" ht="18" customHeight="1">
      <c r="A54" s="9">
        <v>48</v>
      </c>
      <c r="B54" s="9" t="s">
        <v>1913</v>
      </c>
      <c r="C54" s="4" t="s">
        <v>143</v>
      </c>
      <c r="D54" s="55">
        <v>60000</v>
      </c>
      <c r="E54" s="89">
        <v>60000</v>
      </c>
      <c r="F54" s="115"/>
    </row>
    <row r="55" spans="1:7" ht="18" customHeight="1">
      <c r="A55" s="9">
        <v>49</v>
      </c>
      <c r="B55" s="9" t="s">
        <v>1915</v>
      </c>
      <c r="C55" s="4" t="s">
        <v>185</v>
      </c>
      <c r="D55" s="55">
        <v>60000</v>
      </c>
      <c r="E55" s="89">
        <v>60000</v>
      </c>
      <c r="F55" s="115"/>
    </row>
    <row r="56" spans="1:7" ht="18" hidden="1" customHeight="1">
      <c r="A56" s="9">
        <v>50</v>
      </c>
      <c r="B56" s="9"/>
      <c r="C56" s="4" t="s">
        <v>177</v>
      </c>
      <c r="D56" s="55"/>
      <c r="E56" s="90"/>
      <c r="F56" s="115"/>
    </row>
    <row r="57" spans="1:7" ht="18" hidden="1" customHeight="1">
      <c r="A57" s="9">
        <v>51</v>
      </c>
      <c r="B57" s="9"/>
      <c r="C57" s="4" t="s">
        <v>226</v>
      </c>
      <c r="D57" s="55"/>
      <c r="E57" s="90"/>
      <c r="F57" s="115"/>
    </row>
    <row r="58" spans="1:7" ht="18" customHeight="1">
      <c r="A58" s="9">
        <v>52</v>
      </c>
      <c r="B58" s="9" t="s">
        <v>1919</v>
      </c>
      <c r="C58" s="4" t="s">
        <v>187</v>
      </c>
      <c r="D58" s="55">
        <v>80000</v>
      </c>
      <c r="E58" s="89">
        <v>80000</v>
      </c>
      <c r="F58" s="115"/>
    </row>
    <row r="59" spans="1:7" ht="18" hidden="1" customHeight="1">
      <c r="A59" s="9">
        <v>53</v>
      </c>
      <c r="B59" s="9"/>
      <c r="C59" s="4" t="s">
        <v>178</v>
      </c>
      <c r="D59" s="55"/>
      <c r="E59" s="90"/>
    </row>
    <row r="60" spans="1:7" ht="18" hidden="1" customHeight="1">
      <c r="A60" s="9">
        <v>54</v>
      </c>
      <c r="B60" s="9"/>
      <c r="C60" s="4" t="s">
        <v>142</v>
      </c>
      <c r="D60" s="55"/>
      <c r="E60" s="90"/>
    </row>
    <row r="61" spans="1:7" ht="18" hidden="1" customHeight="1">
      <c r="A61" s="9">
        <v>55</v>
      </c>
      <c r="B61" s="9"/>
      <c r="C61" s="4" t="s">
        <v>182</v>
      </c>
      <c r="D61" s="55"/>
      <c r="E61" s="90"/>
    </row>
    <row r="62" spans="1:7" ht="18" customHeight="1">
      <c r="A62" s="9">
        <v>56</v>
      </c>
      <c r="B62" s="9" t="s">
        <v>1921</v>
      </c>
      <c r="C62" s="4" t="s">
        <v>188</v>
      </c>
      <c r="D62" s="55">
        <v>100000</v>
      </c>
      <c r="E62" s="89">
        <v>100000</v>
      </c>
    </row>
    <row r="63" spans="1:7" ht="18" hidden="1" customHeight="1">
      <c r="A63" s="9">
        <v>57</v>
      </c>
      <c r="B63" s="9"/>
      <c r="C63" s="4" t="s">
        <v>179</v>
      </c>
      <c r="D63" s="55"/>
      <c r="E63" s="90"/>
      <c r="F63" s="64">
        <v>115000000</v>
      </c>
      <c r="G63" s="64">
        <v>115000000</v>
      </c>
    </row>
    <row r="64" spans="1:7" ht="18" customHeight="1">
      <c r="A64" s="9">
        <v>58</v>
      </c>
      <c r="B64" s="9" t="s">
        <v>1923</v>
      </c>
      <c r="C64" s="4" t="s">
        <v>266</v>
      </c>
      <c r="D64" s="55">
        <v>145000</v>
      </c>
      <c r="E64" s="89">
        <v>110000</v>
      </c>
    </row>
    <row r="65" spans="1:5" ht="15.75">
      <c r="A65" s="9">
        <v>59</v>
      </c>
      <c r="B65" s="9" t="s">
        <v>632</v>
      </c>
      <c r="C65" s="15" t="s">
        <v>2460</v>
      </c>
      <c r="D65" s="56">
        <v>225000</v>
      </c>
      <c r="E65" s="56">
        <v>195000</v>
      </c>
    </row>
    <row r="66" spans="1:5" ht="15.75">
      <c r="A66" s="9">
        <v>60</v>
      </c>
      <c r="B66" s="9" t="s">
        <v>1925</v>
      </c>
      <c r="C66" s="4" t="s">
        <v>144</v>
      </c>
      <c r="D66" s="55">
        <v>101250</v>
      </c>
      <c r="E66" s="89">
        <v>120000</v>
      </c>
    </row>
    <row r="67" spans="1:5" ht="15.75" hidden="1">
      <c r="A67" s="9">
        <v>61</v>
      </c>
      <c r="B67" s="9"/>
      <c r="C67" s="4" t="s">
        <v>180</v>
      </c>
      <c r="D67" s="55">
        <v>90000</v>
      </c>
      <c r="E67" s="90"/>
    </row>
    <row r="68" spans="1:5" ht="15.75" hidden="1">
      <c r="A68" s="9">
        <v>62</v>
      </c>
      <c r="B68" s="9"/>
      <c r="C68" s="4" t="s">
        <v>180</v>
      </c>
      <c r="D68" s="55">
        <v>105000</v>
      </c>
      <c r="E68" s="90"/>
    </row>
    <row r="69" spans="1:5" ht="15.75">
      <c r="A69" s="9">
        <v>63</v>
      </c>
      <c r="B69" s="9" t="s">
        <v>878</v>
      </c>
      <c r="C69" s="4" t="s">
        <v>190</v>
      </c>
      <c r="D69" s="55">
        <v>168750</v>
      </c>
      <c r="E69" s="89">
        <v>162500</v>
      </c>
    </row>
    <row r="70" spans="1:5" ht="15.75" hidden="1">
      <c r="A70" s="9">
        <v>64</v>
      </c>
      <c r="B70" s="9"/>
      <c r="C70" s="4" t="s">
        <v>181</v>
      </c>
      <c r="D70" s="55">
        <v>150000</v>
      </c>
      <c r="E70" s="90"/>
    </row>
    <row r="71" spans="1:5" ht="15.75" hidden="1">
      <c r="A71" s="9">
        <v>65</v>
      </c>
      <c r="B71" s="9"/>
      <c r="C71" s="4" t="s">
        <v>181</v>
      </c>
      <c r="D71" s="55">
        <v>175000</v>
      </c>
      <c r="E71" s="90"/>
    </row>
    <row r="72" spans="1:5" ht="18" customHeight="1">
      <c r="A72" s="9">
        <v>66</v>
      </c>
      <c r="B72" s="9" t="s">
        <v>876</v>
      </c>
      <c r="C72" s="4" t="s">
        <v>189</v>
      </c>
      <c r="D72" s="55">
        <v>135000</v>
      </c>
      <c r="E72" s="89">
        <v>140000</v>
      </c>
    </row>
    <row r="73" spans="1:5" ht="18" customHeight="1">
      <c r="A73" s="9">
        <v>67</v>
      </c>
      <c r="B73" s="9" t="s">
        <v>1934</v>
      </c>
      <c r="C73" s="15" t="s">
        <v>2395</v>
      </c>
      <c r="D73" s="56">
        <v>303750</v>
      </c>
      <c r="E73" s="56">
        <v>292500</v>
      </c>
    </row>
    <row r="74" spans="1:5" ht="18" customHeight="1">
      <c r="A74" s="9">
        <v>68</v>
      </c>
      <c r="B74" s="9" t="s">
        <v>1939</v>
      </c>
      <c r="C74" s="15" t="s">
        <v>14</v>
      </c>
      <c r="D74" s="56"/>
      <c r="E74" s="56"/>
    </row>
    <row r="75" spans="1:5" ht="18" customHeight="1">
      <c r="A75" s="9">
        <v>69</v>
      </c>
      <c r="B75" s="9" t="s">
        <v>1939</v>
      </c>
      <c r="C75" s="15" t="s">
        <v>2587</v>
      </c>
      <c r="D75" s="56">
        <v>150000</v>
      </c>
      <c r="E75" s="56"/>
    </row>
    <row r="76" spans="1:5" ht="18" customHeight="1">
      <c r="A76" s="9">
        <v>70</v>
      </c>
      <c r="B76" s="9" t="s">
        <v>1867</v>
      </c>
      <c r="C76" s="7" t="s">
        <v>215</v>
      </c>
      <c r="D76" s="55">
        <v>0</v>
      </c>
      <c r="E76" s="55">
        <v>0</v>
      </c>
    </row>
    <row r="77" spans="1:5" ht="18" customHeight="1">
      <c r="A77" s="9">
        <v>71</v>
      </c>
      <c r="B77" s="9" t="s">
        <v>1869</v>
      </c>
      <c r="C77" s="7" t="s">
        <v>139</v>
      </c>
      <c r="D77" s="55">
        <v>0</v>
      </c>
      <c r="E77" s="55">
        <v>0</v>
      </c>
    </row>
    <row r="78" spans="1:5" ht="18" customHeight="1">
      <c r="A78" s="9">
        <v>72</v>
      </c>
      <c r="B78" s="9" t="s">
        <v>1865</v>
      </c>
      <c r="C78" s="4" t="s">
        <v>224</v>
      </c>
      <c r="D78" s="55">
        <v>0</v>
      </c>
      <c r="E78" s="55">
        <v>0</v>
      </c>
    </row>
    <row r="79" spans="1:5" ht="18" customHeight="1">
      <c r="A79" s="9">
        <v>73</v>
      </c>
      <c r="B79" s="9" t="s">
        <v>1873</v>
      </c>
      <c r="C79" s="4" t="s">
        <v>171</v>
      </c>
      <c r="D79" s="55">
        <v>0</v>
      </c>
      <c r="E79" s="55">
        <v>0</v>
      </c>
    </row>
    <row r="80" spans="1:5" ht="18" customHeight="1">
      <c r="A80" s="9">
        <v>74</v>
      </c>
      <c r="B80" s="9" t="s">
        <v>1871</v>
      </c>
      <c r="C80" s="4" t="s">
        <v>140</v>
      </c>
      <c r="D80" s="55">
        <v>0</v>
      </c>
      <c r="E80" s="55">
        <v>0</v>
      </c>
    </row>
    <row r="81" spans="1:5" ht="18" customHeight="1">
      <c r="A81" s="9">
        <v>75</v>
      </c>
      <c r="B81" s="9" t="s">
        <v>1875</v>
      </c>
      <c r="C81" s="4" t="s">
        <v>234</v>
      </c>
      <c r="D81" s="55">
        <v>0</v>
      </c>
      <c r="E81" s="55">
        <v>0</v>
      </c>
    </row>
    <row r="82" spans="1:5" ht="18" customHeight="1">
      <c r="A82" s="9">
        <v>76</v>
      </c>
      <c r="B82" s="9" t="s">
        <v>1877</v>
      </c>
      <c r="C82" s="4" t="s">
        <v>172</v>
      </c>
      <c r="D82" s="55">
        <v>6000000</v>
      </c>
      <c r="E82" s="55">
        <v>0</v>
      </c>
    </row>
    <row r="83" spans="1:5" ht="18" customHeight="1">
      <c r="A83" s="9">
        <v>77</v>
      </c>
      <c r="B83" s="9" t="s">
        <v>1879</v>
      </c>
      <c r="C83" s="4" t="s">
        <v>173</v>
      </c>
      <c r="D83" s="55">
        <v>0</v>
      </c>
      <c r="E83" s="55">
        <v>0</v>
      </c>
    </row>
    <row r="84" spans="1:5" ht="18" customHeight="1">
      <c r="A84" s="9">
        <v>78</v>
      </c>
      <c r="B84" s="9" t="s">
        <v>1881</v>
      </c>
      <c r="C84" s="4" t="s">
        <v>174</v>
      </c>
      <c r="D84" s="55">
        <v>0</v>
      </c>
      <c r="E84" s="55">
        <v>0</v>
      </c>
    </row>
    <row r="85" spans="1:5" ht="18" customHeight="1">
      <c r="A85" s="9">
        <v>79</v>
      </c>
      <c r="B85" s="9" t="e">
        <v>#N/A</v>
      </c>
      <c r="C85" s="4" t="s">
        <v>208</v>
      </c>
      <c r="D85" s="55">
        <v>99000</v>
      </c>
      <c r="E85" s="89">
        <v>125000</v>
      </c>
    </row>
    <row r="86" spans="1:5" ht="18" customHeight="1">
      <c r="A86" s="9">
        <v>80</v>
      </c>
      <c r="B86" s="9" t="s">
        <v>1006</v>
      </c>
      <c r="C86" s="4" t="s">
        <v>210</v>
      </c>
      <c r="D86" s="55">
        <v>500000</v>
      </c>
      <c r="E86" s="55">
        <v>500000</v>
      </c>
    </row>
    <row r="87" spans="1:5" ht="18" customHeight="1">
      <c r="A87" s="9">
        <v>81</v>
      </c>
      <c r="B87" s="9" t="s">
        <v>1008</v>
      </c>
      <c r="C87" s="4" t="s">
        <v>220</v>
      </c>
      <c r="D87" s="55"/>
      <c r="E87" s="89"/>
    </row>
    <row r="88" spans="1:5" ht="18" customHeight="1">
      <c r="A88" s="9">
        <v>82</v>
      </c>
      <c r="B88" s="9" t="s">
        <v>2059</v>
      </c>
      <c r="C88" s="4" t="s">
        <v>221</v>
      </c>
      <c r="D88" s="55">
        <v>500000</v>
      </c>
      <c r="E88" s="55">
        <v>500000</v>
      </c>
    </row>
    <row r="89" spans="1:5" ht="18" customHeight="1">
      <c r="A89" s="9">
        <v>83</v>
      </c>
      <c r="B89" s="9" t="s">
        <v>2047</v>
      </c>
      <c r="C89" s="4" t="s">
        <v>156</v>
      </c>
      <c r="D89" s="55">
        <v>99000</v>
      </c>
      <c r="E89" s="89">
        <v>125000</v>
      </c>
    </row>
    <row r="90" spans="1:5" ht="18" customHeight="1">
      <c r="A90" s="9">
        <v>84</v>
      </c>
      <c r="B90" s="9" t="s">
        <v>2061</v>
      </c>
      <c r="C90" s="4" t="s">
        <v>225</v>
      </c>
      <c r="D90" s="55"/>
      <c r="E90" s="89"/>
    </row>
    <row r="91" spans="1:5" ht="18" customHeight="1">
      <c r="A91" s="9">
        <v>85</v>
      </c>
      <c r="B91" s="9" t="s">
        <v>2037</v>
      </c>
      <c r="C91" s="4" t="s">
        <v>231</v>
      </c>
      <c r="D91" s="55"/>
      <c r="E91" s="89"/>
    </row>
    <row r="92" spans="1:5" ht="18" customHeight="1">
      <c r="A92" s="9">
        <v>86</v>
      </c>
      <c r="B92" s="9" t="s">
        <v>2051</v>
      </c>
      <c r="C92" s="4" t="s">
        <v>229</v>
      </c>
      <c r="D92" s="91">
        <v>1650000</v>
      </c>
      <c r="E92" s="91"/>
    </row>
    <row r="93" spans="1:5" ht="18" customHeight="1">
      <c r="A93" s="9">
        <v>87</v>
      </c>
      <c r="B93" s="9" t="s">
        <v>2045</v>
      </c>
      <c r="C93" s="4" t="s">
        <v>230</v>
      </c>
      <c r="D93" s="91"/>
      <c r="E93" s="91"/>
    </row>
    <row r="94" spans="1:5" ht="18" customHeight="1">
      <c r="A94" s="9">
        <v>88</v>
      </c>
      <c r="B94" s="9" t="s">
        <v>2071</v>
      </c>
      <c r="C94" s="4" t="s">
        <v>2490</v>
      </c>
      <c r="D94" s="55">
        <v>160000</v>
      </c>
      <c r="E94" s="89">
        <v>110000</v>
      </c>
    </row>
    <row r="95" spans="1:5" ht="18" customHeight="1">
      <c r="A95" s="9">
        <v>89</v>
      </c>
      <c r="B95" s="9" t="s">
        <v>2073</v>
      </c>
      <c r="C95" s="4" t="s">
        <v>223</v>
      </c>
      <c r="D95" s="55"/>
      <c r="E95" s="89"/>
    </row>
    <row r="96" spans="1:5" ht="18" customHeight="1">
      <c r="A96" s="9">
        <v>90</v>
      </c>
      <c r="B96" s="9" t="s">
        <v>2035</v>
      </c>
      <c r="C96" s="4" t="s">
        <v>222</v>
      </c>
      <c r="D96" s="55">
        <v>500000</v>
      </c>
      <c r="E96" s="55">
        <v>500000</v>
      </c>
    </row>
    <row r="97" spans="1:5" ht="18" customHeight="1">
      <c r="A97" s="9">
        <v>91</v>
      </c>
      <c r="B97" s="9" t="s">
        <v>2049</v>
      </c>
      <c r="C97" s="4" t="s">
        <v>232</v>
      </c>
      <c r="D97" s="55">
        <v>125000</v>
      </c>
      <c r="E97" s="89">
        <v>150000</v>
      </c>
    </row>
    <row r="98" spans="1:5" ht="18" customHeight="1">
      <c r="A98" s="9">
        <v>92</v>
      </c>
      <c r="B98" s="9" t="s">
        <v>2063</v>
      </c>
      <c r="C98" s="4" t="s">
        <v>235</v>
      </c>
      <c r="D98" s="55"/>
      <c r="E98" s="89"/>
    </row>
    <row r="99" spans="1:5" ht="18" customHeight="1">
      <c r="A99" s="9">
        <v>93</v>
      </c>
      <c r="B99" s="9" t="s">
        <v>2039</v>
      </c>
      <c r="C99" s="4" t="s">
        <v>233</v>
      </c>
      <c r="D99" s="55">
        <v>500000</v>
      </c>
      <c r="E99" s="55">
        <v>500000</v>
      </c>
    </row>
    <row r="100" spans="1:5" ht="18" customHeight="1">
      <c r="A100" s="9">
        <v>94</v>
      </c>
      <c r="B100" s="9"/>
      <c r="C100" s="4" t="s">
        <v>204</v>
      </c>
      <c r="D100" s="55">
        <v>175000</v>
      </c>
      <c r="E100" s="89">
        <v>220000</v>
      </c>
    </row>
    <row r="101" spans="1:5" ht="18" customHeight="1">
      <c r="A101" s="9">
        <v>95</v>
      </c>
      <c r="B101" s="9"/>
      <c r="C101" s="4" t="s">
        <v>206</v>
      </c>
      <c r="D101" s="55">
        <v>475000</v>
      </c>
      <c r="E101" s="89">
        <v>360000</v>
      </c>
    </row>
    <row r="102" spans="1:5" ht="18" customHeight="1">
      <c r="A102" s="9">
        <v>96</v>
      </c>
      <c r="B102" s="9"/>
      <c r="C102" s="4" t="s">
        <v>209</v>
      </c>
      <c r="D102" s="55">
        <v>650000</v>
      </c>
      <c r="E102" s="89">
        <v>650000</v>
      </c>
    </row>
    <row r="103" spans="1:5" ht="18" customHeight="1">
      <c r="A103" s="9">
        <v>97</v>
      </c>
      <c r="B103" s="9"/>
      <c r="C103" s="4" t="s">
        <v>205</v>
      </c>
      <c r="D103" s="55">
        <v>200000</v>
      </c>
      <c r="E103" s="89">
        <v>225000</v>
      </c>
    </row>
    <row r="104" spans="1:5" ht="18" customHeight="1">
      <c r="A104" s="9">
        <v>98</v>
      </c>
      <c r="B104" s="9"/>
      <c r="C104" s="4" t="s">
        <v>207</v>
      </c>
      <c r="D104" s="55">
        <v>375000</v>
      </c>
      <c r="E104" s="89">
        <v>375000</v>
      </c>
    </row>
    <row r="105" spans="1:5" ht="18" customHeight="1">
      <c r="A105" s="9">
        <v>99</v>
      </c>
      <c r="B105" s="9"/>
      <c r="C105" s="4" t="s">
        <v>157</v>
      </c>
      <c r="D105" s="55"/>
      <c r="E105" s="55"/>
    </row>
    <row r="106" spans="1:5" ht="18" customHeight="1">
      <c r="A106" s="9">
        <v>100</v>
      </c>
      <c r="B106" s="9"/>
      <c r="C106" s="4" t="s">
        <v>268</v>
      </c>
      <c r="D106" s="89">
        <v>30000</v>
      </c>
      <c r="E106" s="89">
        <v>30000</v>
      </c>
    </row>
    <row r="107" spans="1:5" ht="18" customHeight="1">
      <c r="A107" s="9">
        <v>101</v>
      </c>
      <c r="B107" s="9"/>
      <c r="C107" s="4" t="s">
        <v>166</v>
      </c>
      <c r="D107" s="89">
        <v>85000</v>
      </c>
      <c r="E107" s="89">
        <v>85000</v>
      </c>
    </row>
    <row r="108" spans="1:5" ht="18" customHeight="1">
      <c r="A108" s="9">
        <v>102</v>
      </c>
      <c r="B108" s="9"/>
      <c r="C108" s="4" t="s">
        <v>2574</v>
      </c>
      <c r="D108" s="55">
        <v>175000</v>
      </c>
      <c r="E108" s="55">
        <v>175000</v>
      </c>
    </row>
    <row r="109" spans="1:5" ht="18" customHeight="1">
      <c r="A109" s="9">
        <v>103</v>
      </c>
      <c r="B109" s="9"/>
      <c r="C109" s="4" t="s">
        <v>167</v>
      </c>
      <c r="D109" s="55">
        <v>150000</v>
      </c>
      <c r="E109" s="55">
        <v>150000</v>
      </c>
    </row>
    <row r="110" spans="1:5" ht="18" customHeight="1">
      <c r="A110" s="9">
        <v>104</v>
      </c>
      <c r="B110" s="9"/>
      <c r="C110" s="4" t="s">
        <v>168</v>
      </c>
      <c r="D110" s="89">
        <v>375000</v>
      </c>
      <c r="E110" s="89">
        <v>375000</v>
      </c>
    </row>
    <row r="111" spans="1:5" ht="18" customHeight="1">
      <c r="A111" s="9">
        <v>105</v>
      </c>
      <c r="B111" s="9"/>
      <c r="C111" s="4" t="s">
        <v>164</v>
      </c>
      <c r="D111" s="55">
        <v>35000</v>
      </c>
      <c r="E111" s="89">
        <v>40000</v>
      </c>
    </row>
    <row r="112" spans="1:5" ht="18" customHeight="1">
      <c r="A112" s="9">
        <v>106</v>
      </c>
      <c r="B112" s="9"/>
      <c r="C112" s="4" t="s">
        <v>165</v>
      </c>
      <c r="D112" s="55">
        <v>40000</v>
      </c>
      <c r="E112" s="89">
        <v>40000</v>
      </c>
    </row>
    <row r="113" spans="1:5" ht="18" customHeight="1">
      <c r="A113" s="9">
        <v>107</v>
      </c>
      <c r="B113" s="9"/>
      <c r="C113" s="4" t="s">
        <v>132</v>
      </c>
      <c r="D113" s="55">
        <v>550000</v>
      </c>
      <c r="E113" s="89">
        <v>675000</v>
      </c>
    </row>
    <row r="114" spans="1:5" ht="18" customHeight="1">
      <c r="A114" s="9">
        <v>109</v>
      </c>
      <c r="B114" s="9"/>
      <c r="C114" s="4" t="s">
        <v>228</v>
      </c>
      <c r="D114" s="55">
        <v>60000</v>
      </c>
      <c r="E114" s="89">
        <v>67000</v>
      </c>
    </row>
    <row r="115" spans="1:5" ht="18" customHeight="1">
      <c r="A115" s="9">
        <v>110</v>
      </c>
      <c r="B115" s="9"/>
      <c r="C115" s="4" t="s">
        <v>169</v>
      </c>
      <c r="D115" s="55">
        <v>500000</v>
      </c>
      <c r="E115" s="89"/>
    </row>
    <row r="116" spans="1:5" ht="18" customHeight="1">
      <c r="A116" s="9">
        <v>111</v>
      </c>
      <c r="B116" s="9"/>
      <c r="C116" s="4" t="s">
        <v>170</v>
      </c>
      <c r="D116" s="55">
        <v>600000</v>
      </c>
      <c r="E116" s="89">
        <v>850000</v>
      </c>
    </row>
    <row r="117" spans="1:5" ht="18" customHeight="1">
      <c r="A117" s="9">
        <v>112</v>
      </c>
      <c r="B117" s="9"/>
      <c r="C117" s="2" t="s">
        <v>211</v>
      </c>
      <c r="D117" s="55">
        <v>400000</v>
      </c>
      <c r="E117" s="55">
        <v>400000</v>
      </c>
    </row>
    <row r="118" spans="1:5" ht="18" customHeight="1">
      <c r="A118" s="9">
        <v>113</v>
      </c>
      <c r="B118" s="9"/>
      <c r="C118" s="2" t="s">
        <v>216</v>
      </c>
      <c r="D118" s="55">
        <v>400000</v>
      </c>
      <c r="E118" s="55">
        <v>400000</v>
      </c>
    </row>
    <row r="119" spans="1:5" ht="18" customHeight="1">
      <c r="A119" s="9">
        <v>114</v>
      </c>
      <c r="B119" s="9"/>
      <c r="C119" s="4" t="s">
        <v>2547</v>
      </c>
      <c r="D119" s="55">
        <v>500000</v>
      </c>
      <c r="E119" s="55">
        <v>500000</v>
      </c>
    </row>
    <row r="120" spans="1:5" ht="18" customHeight="1">
      <c r="A120" s="9">
        <v>115</v>
      </c>
      <c r="B120" s="9"/>
      <c r="C120" s="4" t="s">
        <v>147</v>
      </c>
      <c r="D120" s="55">
        <v>1020000</v>
      </c>
      <c r="E120" s="55">
        <v>1020000</v>
      </c>
    </row>
    <row r="121" spans="1:5" ht="18" customHeight="1">
      <c r="A121" s="9">
        <v>116</v>
      </c>
      <c r="B121" s="9"/>
      <c r="C121" s="4" t="s">
        <v>148</v>
      </c>
      <c r="D121" s="55">
        <v>1360000</v>
      </c>
      <c r="E121" s="55">
        <v>1360000</v>
      </c>
    </row>
    <row r="122" spans="1:5" ht="18" customHeight="1">
      <c r="A122" s="9">
        <v>117</v>
      </c>
      <c r="B122" s="9"/>
      <c r="C122" s="4" t="s">
        <v>253</v>
      </c>
      <c r="D122" s="55">
        <v>2040000</v>
      </c>
      <c r="E122" s="55">
        <v>2040000</v>
      </c>
    </row>
    <row r="123" spans="1:5" ht="18" customHeight="1">
      <c r="A123" s="9">
        <v>118</v>
      </c>
      <c r="B123" s="9"/>
      <c r="C123" s="4" t="s">
        <v>149</v>
      </c>
      <c r="D123" s="55">
        <v>2250000</v>
      </c>
      <c r="E123" s="55">
        <v>2250000</v>
      </c>
    </row>
    <row r="124" spans="1:5" ht="18" customHeight="1">
      <c r="A124" s="9">
        <v>119</v>
      </c>
      <c r="B124" s="9"/>
      <c r="C124" s="4" t="s">
        <v>150</v>
      </c>
      <c r="D124" s="55">
        <v>3000000</v>
      </c>
      <c r="E124" s="55">
        <v>3000000</v>
      </c>
    </row>
    <row r="125" spans="1:5" ht="18" customHeight="1">
      <c r="A125" s="9">
        <v>120</v>
      </c>
      <c r="B125" s="9"/>
      <c r="C125" s="4" t="s">
        <v>151</v>
      </c>
      <c r="D125" s="55">
        <v>3750000</v>
      </c>
      <c r="E125" s="55">
        <v>3750000</v>
      </c>
    </row>
    <row r="126" spans="1:5" ht="18" customHeight="1">
      <c r="A126" s="9">
        <v>121</v>
      </c>
      <c r="B126" s="9"/>
      <c r="C126" s="4" t="s">
        <v>254</v>
      </c>
      <c r="D126" s="55"/>
      <c r="E126" s="89"/>
    </row>
    <row r="127" spans="1:5" ht="18" customHeight="1">
      <c r="A127" s="9">
        <v>122</v>
      </c>
      <c r="B127" s="9"/>
      <c r="C127" s="4" t="s">
        <v>128</v>
      </c>
      <c r="D127" s="55">
        <v>17000</v>
      </c>
      <c r="E127" s="55">
        <v>17000</v>
      </c>
    </row>
    <row r="128" spans="1:5" ht="18" customHeight="1">
      <c r="A128" s="9">
        <v>123</v>
      </c>
      <c r="B128" s="9"/>
      <c r="C128" s="4" t="s">
        <v>129</v>
      </c>
      <c r="D128" s="55">
        <v>17000</v>
      </c>
      <c r="E128" s="55">
        <v>17000</v>
      </c>
    </row>
    <row r="129" spans="1:5" ht="18" customHeight="1">
      <c r="A129" s="9">
        <v>124</v>
      </c>
      <c r="B129" s="9"/>
      <c r="C129" s="7" t="s">
        <v>2489</v>
      </c>
      <c r="D129" s="55">
        <v>17000</v>
      </c>
      <c r="E129" s="55">
        <v>17000</v>
      </c>
    </row>
    <row r="130" spans="1:5" ht="18" customHeight="1">
      <c r="A130" s="9">
        <v>125</v>
      </c>
      <c r="B130" s="9"/>
      <c r="C130" s="4" t="s">
        <v>130</v>
      </c>
      <c r="D130" s="89">
        <v>22500</v>
      </c>
      <c r="E130" s="89">
        <v>22500</v>
      </c>
    </row>
    <row r="131" spans="1:5" ht="18" customHeight="1">
      <c r="A131" s="9">
        <v>126</v>
      </c>
      <c r="B131" s="9"/>
      <c r="C131" s="4" t="s">
        <v>131</v>
      </c>
      <c r="D131" s="89">
        <v>22500</v>
      </c>
      <c r="E131" s="89">
        <v>22500</v>
      </c>
    </row>
    <row r="132" spans="1:5" ht="18" customHeight="1">
      <c r="A132" s="9">
        <v>127</v>
      </c>
      <c r="B132" s="9"/>
      <c r="C132" s="4" t="s">
        <v>237</v>
      </c>
      <c r="D132" s="55">
        <v>28000</v>
      </c>
      <c r="E132" s="55">
        <v>28000</v>
      </c>
    </row>
    <row r="133" spans="1:5" ht="18" customHeight="1">
      <c r="A133" s="9">
        <v>128</v>
      </c>
      <c r="B133" s="9"/>
      <c r="C133" s="4" t="s">
        <v>159</v>
      </c>
      <c r="D133" s="55">
        <v>27500</v>
      </c>
      <c r="E133" s="89">
        <v>33000</v>
      </c>
    </row>
    <row r="134" spans="1:5" ht="18" customHeight="1">
      <c r="A134" s="9">
        <v>129</v>
      </c>
      <c r="B134" s="9"/>
      <c r="C134" s="4" t="s">
        <v>161</v>
      </c>
      <c r="D134" s="55">
        <v>125000</v>
      </c>
      <c r="E134" s="89">
        <v>125000</v>
      </c>
    </row>
    <row r="135" spans="1:5" ht="18" customHeight="1">
      <c r="A135" s="9">
        <v>130</v>
      </c>
      <c r="B135" s="9"/>
      <c r="C135" s="4" t="s">
        <v>240</v>
      </c>
      <c r="D135" s="55">
        <v>1250000</v>
      </c>
      <c r="E135" s="89">
        <v>1250000</v>
      </c>
    </row>
    <row r="136" spans="1:5" ht="18" customHeight="1">
      <c r="A136" s="9">
        <v>131</v>
      </c>
      <c r="B136" s="9"/>
      <c r="C136" s="4" t="s">
        <v>2401</v>
      </c>
      <c r="D136" s="55">
        <v>7770000</v>
      </c>
      <c r="E136" s="89">
        <v>0</v>
      </c>
    </row>
    <row r="137" spans="1:5" ht="18" customHeight="1">
      <c r="A137" s="9">
        <v>132</v>
      </c>
      <c r="B137" s="9"/>
      <c r="C137" s="4" t="s">
        <v>160</v>
      </c>
      <c r="D137" s="55">
        <v>32500</v>
      </c>
      <c r="E137" s="89">
        <v>33000</v>
      </c>
    </row>
    <row r="138" spans="1:5" ht="18" customHeight="1">
      <c r="A138" s="9">
        <v>133</v>
      </c>
      <c r="B138" s="9"/>
      <c r="C138" s="4" t="s">
        <v>163</v>
      </c>
      <c r="D138" s="55"/>
      <c r="E138" s="89"/>
    </row>
    <row r="139" spans="1:5" ht="18" customHeight="1">
      <c r="A139" s="9">
        <v>134</v>
      </c>
      <c r="B139" s="9"/>
      <c r="C139" s="4" t="s">
        <v>162</v>
      </c>
      <c r="D139" s="55">
        <v>46000</v>
      </c>
      <c r="E139" s="89">
        <v>55000</v>
      </c>
    </row>
    <row r="140" spans="1:5" ht="18" customHeight="1">
      <c r="A140" s="9">
        <v>135</v>
      </c>
      <c r="B140" s="9"/>
      <c r="C140" s="4" t="s">
        <v>133</v>
      </c>
      <c r="D140" s="55">
        <v>35000</v>
      </c>
      <c r="E140" s="89">
        <v>60000</v>
      </c>
    </row>
    <row r="141" spans="1:5" ht="18" customHeight="1">
      <c r="A141" s="9">
        <v>136</v>
      </c>
      <c r="B141" s="9"/>
      <c r="C141" s="4" t="s">
        <v>134</v>
      </c>
      <c r="D141" s="55">
        <v>45000</v>
      </c>
      <c r="E141" s="89">
        <v>80000</v>
      </c>
    </row>
    <row r="142" spans="1:5" ht="18" customHeight="1">
      <c r="A142" s="9">
        <v>137</v>
      </c>
      <c r="B142" s="9"/>
      <c r="C142" s="4" t="s">
        <v>135</v>
      </c>
      <c r="D142" s="55">
        <v>50000</v>
      </c>
      <c r="E142" s="89">
        <v>135000</v>
      </c>
    </row>
    <row r="143" spans="1:5" ht="18" customHeight="1">
      <c r="A143" s="9">
        <v>138</v>
      </c>
      <c r="B143" s="9"/>
      <c r="C143" s="7" t="s">
        <v>138</v>
      </c>
      <c r="D143" s="89">
        <v>200000</v>
      </c>
      <c r="E143" s="89">
        <v>220000</v>
      </c>
    </row>
    <row r="144" spans="1:5" ht="18" customHeight="1">
      <c r="A144" s="9">
        <v>139</v>
      </c>
      <c r="B144" s="9"/>
      <c r="C144" s="7" t="s">
        <v>136</v>
      </c>
      <c r="D144" s="89">
        <v>550000</v>
      </c>
      <c r="E144" s="89">
        <v>550000</v>
      </c>
    </row>
    <row r="145" spans="1:5" ht="18" customHeight="1">
      <c r="A145" s="9">
        <v>140</v>
      </c>
      <c r="B145" s="9"/>
      <c r="C145" s="7" t="s">
        <v>137</v>
      </c>
      <c r="D145" s="89">
        <v>1600000</v>
      </c>
      <c r="E145" s="89">
        <v>1600000</v>
      </c>
    </row>
    <row r="146" spans="1:5" ht="14.25" customHeight="1">
      <c r="A146" s="9">
        <v>141</v>
      </c>
      <c r="B146" s="9"/>
      <c r="C146" s="4" t="s">
        <v>39</v>
      </c>
      <c r="D146" s="55">
        <v>150000</v>
      </c>
      <c r="E146" s="89">
        <v>175000</v>
      </c>
    </row>
    <row r="147" spans="1:5" ht="15.75">
      <c r="A147" s="9">
        <v>142</v>
      </c>
      <c r="B147" s="9"/>
      <c r="C147" s="4" t="s">
        <v>227</v>
      </c>
      <c r="D147" s="55">
        <v>66000</v>
      </c>
      <c r="E147" s="89">
        <v>66000</v>
      </c>
    </row>
    <row r="148" spans="1:5" ht="15.75">
      <c r="A148" s="9">
        <v>143</v>
      </c>
      <c r="B148" s="9"/>
      <c r="C148" s="4" t="s">
        <v>196</v>
      </c>
      <c r="D148" s="55">
        <v>66000</v>
      </c>
      <c r="E148" s="89">
        <v>66000</v>
      </c>
    </row>
    <row r="149" spans="1:5" ht="15.75">
      <c r="A149" s="9">
        <v>144</v>
      </c>
      <c r="B149" s="9"/>
      <c r="C149" s="4" t="s">
        <v>2401</v>
      </c>
      <c r="D149" s="92">
        <v>6600000</v>
      </c>
      <c r="E149" s="92">
        <v>6600000</v>
      </c>
    </row>
  </sheetData>
  <sortState xmlns:xlrd2="http://schemas.microsoft.com/office/spreadsheetml/2017/richdata2" ref="A2:F148">
    <sortCondition ref="C49"/>
  </sortState>
  <mergeCells count="7">
    <mergeCell ref="F53:F58"/>
    <mergeCell ref="A1:E1"/>
    <mergeCell ref="A2:A3"/>
    <mergeCell ref="C2:C3"/>
    <mergeCell ref="D2:E3"/>
    <mergeCell ref="A4:C4"/>
    <mergeCell ref="B2:B3"/>
  </mergeCells>
  <pageMargins left="0.25" right="0.25" top="0.75" bottom="0.75" header="0.3" footer="0.3"/>
  <pageSetup paperSize="9" scale="94" fitToHeight="0" orientation="portrait" r:id="rId1"/>
  <rowBreaks count="2" manualBreakCount="2">
    <brk id="99" max="4" man="1"/>
    <brk id="136" max="4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63"/>
  <sheetViews>
    <sheetView view="pageBreakPreview" zoomScale="90" zoomScaleNormal="100" zoomScaleSheetLayoutView="90" workbookViewId="0">
      <selection activeCell="F7" sqref="F1:G1048576"/>
    </sheetView>
  </sheetViews>
  <sheetFormatPr defaultRowHeight="15"/>
  <cols>
    <col min="1" max="1" width="7" style="8" customWidth="1"/>
    <col min="2" max="2" width="26.28515625" style="8" hidden="1" customWidth="1"/>
    <col min="3" max="3" width="76" style="8" customWidth="1"/>
    <col min="4" max="4" width="18" style="63" hidden="1" customWidth="1"/>
    <col min="5" max="5" width="0.28515625" style="64" hidden="1" customWidth="1"/>
    <col min="6" max="6" width="19.85546875" style="63" customWidth="1"/>
    <col min="7" max="7" width="19.85546875" style="64" customWidth="1"/>
    <col min="8" max="8" width="14.5703125" style="8" customWidth="1"/>
    <col min="9" max="9" width="37.140625" style="13" bestFit="1" customWidth="1"/>
    <col min="10" max="16384" width="9.140625" style="8"/>
  </cols>
  <sheetData>
    <row r="1" spans="1:9" ht="21" customHeight="1">
      <c r="A1" s="120">
        <v>45176</v>
      </c>
      <c r="B1" s="121"/>
      <c r="C1" s="121"/>
      <c r="D1" s="121"/>
      <c r="E1" s="121"/>
      <c r="F1" s="121"/>
      <c r="G1" s="121"/>
    </row>
    <row r="2" spans="1:9" ht="18" customHeight="1">
      <c r="A2" s="122" t="s">
        <v>55</v>
      </c>
      <c r="B2" s="122" t="s">
        <v>2534</v>
      </c>
      <c r="C2" s="124" t="s">
        <v>56</v>
      </c>
      <c r="D2" s="112" t="s">
        <v>2533</v>
      </c>
      <c r="E2" s="112"/>
      <c r="F2" s="112" t="s">
        <v>2532</v>
      </c>
      <c r="G2" s="112"/>
    </row>
    <row r="3" spans="1:9" ht="18" customHeight="1">
      <c r="A3" s="123"/>
      <c r="B3" s="126"/>
      <c r="C3" s="125"/>
      <c r="D3" s="112"/>
      <c r="E3" s="112"/>
      <c r="F3" s="112"/>
      <c r="G3" s="112"/>
    </row>
    <row r="4" spans="1:9" ht="18" customHeight="1">
      <c r="A4" s="23"/>
      <c r="B4" s="23"/>
      <c r="C4" s="79" t="s">
        <v>78</v>
      </c>
      <c r="D4" s="62" t="s">
        <v>79</v>
      </c>
      <c r="E4" s="62" t="s">
        <v>80</v>
      </c>
      <c r="F4" s="62" t="s">
        <v>79</v>
      </c>
      <c r="G4" s="62" t="s">
        <v>80</v>
      </c>
      <c r="I4" s="14" t="s">
        <v>54</v>
      </c>
    </row>
    <row r="5" spans="1:9" ht="18" customHeight="1">
      <c r="A5" s="6">
        <v>1</v>
      </c>
      <c r="B5" s="6" t="s">
        <v>541</v>
      </c>
      <c r="C5" s="2" t="s">
        <v>54</v>
      </c>
      <c r="D5" s="55">
        <f>F5/1.11</f>
        <v>3468468.4684684682</v>
      </c>
      <c r="E5" s="56">
        <f>G5/1.11</f>
        <v>3468468.4684684682</v>
      </c>
      <c r="F5" s="55">
        <v>3850000</v>
      </c>
      <c r="G5" s="56">
        <v>3850000</v>
      </c>
      <c r="I5" s="14" t="s">
        <v>22</v>
      </c>
    </row>
    <row r="6" spans="1:9" ht="18" customHeight="1">
      <c r="A6" s="6">
        <v>2</v>
      </c>
      <c r="B6" s="6" t="s">
        <v>539</v>
      </c>
      <c r="C6" s="2" t="s">
        <v>2669</v>
      </c>
      <c r="D6" s="55">
        <f t="shared" ref="D6:D21" si="0">F6/1.11</f>
        <v>0</v>
      </c>
      <c r="E6" s="56">
        <f t="shared" ref="E6:E21" si="1">G6/1.11</f>
        <v>1081081.0810810809</v>
      </c>
      <c r="F6" s="55"/>
      <c r="G6" s="56">
        <v>1200000</v>
      </c>
      <c r="I6" s="14" t="s">
        <v>23</v>
      </c>
    </row>
    <row r="7" spans="1:9" ht="18" customHeight="1">
      <c r="A7" s="6">
        <v>3</v>
      </c>
      <c r="B7" s="6" t="s">
        <v>540</v>
      </c>
      <c r="C7" s="2" t="s">
        <v>259</v>
      </c>
      <c r="D7" s="55">
        <f t="shared" si="0"/>
        <v>1576576.5765765763</v>
      </c>
      <c r="E7" s="56">
        <f t="shared" si="1"/>
        <v>1576576.5765765763</v>
      </c>
      <c r="F7" s="55">
        <v>1750000</v>
      </c>
      <c r="G7" s="87">
        <v>1750000</v>
      </c>
      <c r="I7" s="14" t="s">
        <v>24</v>
      </c>
    </row>
    <row r="8" spans="1:9" ht="18" customHeight="1">
      <c r="A8" s="6">
        <v>4</v>
      </c>
      <c r="B8" s="6" t="s">
        <v>529</v>
      </c>
      <c r="C8" s="2" t="s">
        <v>238</v>
      </c>
      <c r="D8" s="55">
        <f t="shared" si="0"/>
        <v>18018.018018018018</v>
      </c>
      <c r="E8" s="56">
        <f t="shared" si="1"/>
        <v>18018.018018018018</v>
      </c>
      <c r="F8" s="94">
        <v>20000</v>
      </c>
      <c r="G8" s="95">
        <v>20000</v>
      </c>
      <c r="I8" s="14" t="s">
        <v>25</v>
      </c>
    </row>
    <row r="9" spans="1:9" ht="18" customHeight="1">
      <c r="A9" s="6">
        <v>5</v>
      </c>
      <c r="B9" s="6" t="s">
        <v>533</v>
      </c>
      <c r="C9" s="2" t="s">
        <v>122</v>
      </c>
      <c r="D9" s="55">
        <f t="shared" si="0"/>
        <v>112612.6126126126</v>
      </c>
      <c r="E9" s="56">
        <f t="shared" si="1"/>
        <v>112612.6126126126</v>
      </c>
      <c r="F9" s="55">
        <v>125000</v>
      </c>
      <c r="G9" s="56">
        <v>125000</v>
      </c>
      <c r="I9" s="14" t="s">
        <v>82</v>
      </c>
    </row>
    <row r="10" spans="1:9" ht="18" customHeight="1">
      <c r="A10" s="6">
        <v>6</v>
      </c>
      <c r="B10" s="6" t="s">
        <v>534</v>
      </c>
      <c r="C10" s="2" t="s">
        <v>123</v>
      </c>
      <c r="D10" s="55">
        <f t="shared" si="0"/>
        <v>135135.13513513512</v>
      </c>
      <c r="E10" s="56">
        <f t="shared" si="1"/>
        <v>135135.13513513512</v>
      </c>
      <c r="F10" s="55">
        <v>150000</v>
      </c>
      <c r="G10" s="55">
        <v>150000</v>
      </c>
      <c r="I10" s="14" t="s">
        <v>32</v>
      </c>
    </row>
    <row r="11" spans="1:9" ht="18" customHeight="1">
      <c r="A11" s="6">
        <v>7</v>
      </c>
      <c r="B11" s="6" t="s">
        <v>535</v>
      </c>
      <c r="C11" s="2" t="s">
        <v>124</v>
      </c>
      <c r="D11" s="55">
        <f t="shared" si="0"/>
        <v>216216.21621621618</v>
      </c>
      <c r="E11" s="56">
        <f t="shared" si="1"/>
        <v>216216.21621621618</v>
      </c>
      <c r="F11" s="55">
        <v>240000</v>
      </c>
      <c r="G11" s="56">
        <v>240000</v>
      </c>
      <c r="I11" s="14" t="s">
        <v>26</v>
      </c>
    </row>
    <row r="12" spans="1:9" ht="18" customHeight="1">
      <c r="A12" s="6">
        <v>8</v>
      </c>
      <c r="B12" s="6" t="s">
        <v>536</v>
      </c>
      <c r="C12" s="2" t="s">
        <v>125</v>
      </c>
      <c r="D12" s="55">
        <f t="shared" si="0"/>
        <v>292792.79279279278</v>
      </c>
      <c r="E12" s="56">
        <f t="shared" si="1"/>
        <v>292792.79279279278</v>
      </c>
      <c r="F12" s="55">
        <v>325000</v>
      </c>
      <c r="G12" s="56">
        <v>325000</v>
      </c>
      <c r="I12" s="14" t="s">
        <v>28</v>
      </c>
    </row>
    <row r="13" spans="1:9" ht="18" customHeight="1">
      <c r="A13" s="6">
        <v>9</v>
      </c>
      <c r="B13" s="6" t="s">
        <v>537</v>
      </c>
      <c r="C13" s="2" t="s">
        <v>126</v>
      </c>
      <c r="D13" s="55">
        <f t="shared" si="0"/>
        <v>373873.87387387385</v>
      </c>
      <c r="E13" s="56">
        <f t="shared" si="1"/>
        <v>373873.87387387385</v>
      </c>
      <c r="F13" s="55">
        <v>415000</v>
      </c>
      <c r="G13" s="56">
        <v>415000</v>
      </c>
      <c r="I13" s="14" t="s">
        <v>257</v>
      </c>
    </row>
    <row r="14" spans="1:9" ht="18" customHeight="1">
      <c r="A14" s="6">
        <v>10</v>
      </c>
      <c r="B14" s="6" t="s">
        <v>537</v>
      </c>
      <c r="C14" s="2" t="s">
        <v>2546</v>
      </c>
      <c r="D14" s="55">
        <f t="shared" ref="D14" si="2">F14/1.11</f>
        <v>412162.16216216213</v>
      </c>
      <c r="E14" s="56">
        <f t="shared" ref="E14" si="3">G14/1.11</f>
        <v>412162.16216216213</v>
      </c>
      <c r="F14" s="55">
        <v>457500</v>
      </c>
      <c r="G14" s="56">
        <v>457500</v>
      </c>
      <c r="I14" s="14" t="s">
        <v>257</v>
      </c>
    </row>
    <row r="15" spans="1:9" ht="18" customHeight="1">
      <c r="A15" s="6">
        <v>11</v>
      </c>
      <c r="B15" s="6" t="s">
        <v>538</v>
      </c>
      <c r="C15" s="2" t="s">
        <v>83</v>
      </c>
      <c r="D15" s="55">
        <f t="shared" si="0"/>
        <v>531531.53153153148</v>
      </c>
      <c r="E15" s="56">
        <f t="shared" si="1"/>
        <v>531531.53153153148</v>
      </c>
      <c r="F15" s="55">
        <v>590000</v>
      </c>
      <c r="G15" s="55">
        <v>590000</v>
      </c>
      <c r="I15" s="14" t="s">
        <v>31</v>
      </c>
    </row>
    <row r="16" spans="1:9" ht="18" customHeight="1">
      <c r="A16" s="6">
        <v>12</v>
      </c>
      <c r="B16" s="6" t="s">
        <v>530</v>
      </c>
      <c r="C16" s="2" t="s">
        <v>82</v>
      </c>
      <c r="D16" s="55">
        <f t="shared" si="0"/>
        <v>594594.59459459456</v>
      </c>
      <c r="E16" s="56">
        <f t="shared" si="1"/>
        <v>594594.59459459456</v>
      </c>
      <c r="F16" s="55">
        <v>660000</v>
      </c>
      <c r="G16" s="56">
        <v>660000</v>
      </c>
      <c r="I16" s="14" t="s">
        <v>27</v>
      </c>
    </row>
    <row r="17" spans="1:9" ht="18" customHeight="1">
      <c r="A17" s="6">
        <v>13</v>
      </c>
      <c r="B17" s="6" t="s">
        <v>531</v>
      </c>
      <c r="C17" s="2" t="s">
        <v>121</v>
      </c>
      <c r="D17" s="55">
        <f t="shared" si="0"/>
        <v>713513.51351351349</v>
      </c>
      <c r="E17" s="56">
        <f t="shared" si="1"/>
        <v>713513.51351351349</v>
      </c>
      <c r="F17" s="55">
        <v>792000</v>
      </c>
      <c r="G17" s="56">
        <v>792000</v>
      </c>
      <c r="I17" s="14" t="s">
        <v>29</v>
      </c>
    </row>
    <row r="18" spans="1:9" ht="18" customHeight="1">
      <c r="A18" s="6">
        <v>14</v>
      </c>
      <c r="B18" s="6" t="s">
        <v>532</v>
      </c>
      <c r="C18" s="2" t="s">
        <v>33</v>
      </c>
      <c r="D18" s="55">
        <f t="shared" si="0"/>
        <v>1189189.1891891891</v>
      </c>
      <c r="E18" s="56">
        <f t="shared" si="1"/>
        <v>1189189.1891891891</v>
      </c>
      <c r="F18" s="55">
        <v>1320000</v>
      </c>
      <c r="G18" s="56">
        <v>1320000</v>
      </c>
      <c r="I18" s="14" t="s">
        <v>30</v>
      </c>
    </row>
    <row r="19" spans="1:9" ht="18" customHeight="1">
      <c r="A19" s="6">
        <v>15</v>
      </c>
      <c r="B19" s="6" t="s">
        <v>524</v>
      </c>
      <c r="C19" s="2" t="s">
        <v>118</v>
      </c>
      <c r="D19" s="55">
        <f t="shared" si="0"/>
        <v>662162.16216216213</v>
      </c>
      <c r="E19" s="56">
        <f t="shared" si="1"/>
        <v>662162.16216216213</v>
      </c>
      <c r="F19" s="55">
        <v>735000</v>
      </c>
      <c r="G19" s="55">
        <v>735000</v>
      </c>
      <c r="I19" s="14" t="s">
        <v>33</v>
      </c>
    </row>
    <row r="20" spans="1:9" ht="18" customHeight="1">
      <c r="A20" s="6">
        <v>16</v>
      </c>
      <c r="B20" s="6" t="s">
        <v>526</v>
      </c>
      <c r="C20" s="2" t="s">
        <v>119</v>
      </c>
      <c r="D20" s="55">
        <f t="shared" si="0"/>
        <v>792792.79279279266</v>
      </c>
      <c r="E20" s="56">
        <f t="shared" si="1"/>
        <v>792792.79279279266</v>
      </c>
      <c r="F20" s="55">
        <v>880000</v>
      </c>
      <c r="G20" s="55">
        <v>880000</v>
      </c>
      <c r="I20" s="14" t="s">
        <v>34</v>
      </c>
    </row>
    <row r="21" spans="1:9" ht="18" customHeight="1">
      <c r="A21" s="6">
        <v>17</v>
      </c>
      <c r="B21" s="6" t="s">
        <v>528</v>
      </c>
      <c r="C21" s="2" t="s">
        <v>120</v>
      </c>
      <c r="D21" s="55">
        <f t="shared" si="0"/>
        <v>1351351.3513513512</v>
      </c>
      <c r="E21" s="56">
        <f t="shared" si="1"/>
        <v>1351351.3513513512</v>
      </c>
      <c r="F21" s="55">
        <v>1500000</v>
      </c>
      <c r="G21" s="55">
        <v>1500000</v>
      </c>
      <c r="I21" s="14" t="s">
        <v>35</v>
      </c>
    </row>
    <row r="22" spans="1:9">
      <c r="I22" s="14" t="s">
        <v>36</v>
      </c>
    </row>
    <row r="23" spans="1:9">
      <c r="I23" s="14"/>
    </row>
    <row r="24" spans="1:9">
      <c r="I24" s="14" t="s">
        <v>37</v>
      </c>
    </row>
    <row r="25" spans="1:9">
      <c r="I25" s="14" t="s">
        <v>38</v>
      </c>
    </row>
    <row r="31" spans="1:9">
      <c r="E31" s="63"/>
      <c r="G31" s="63"/>
    </row>
    <row r="32" spans="1:9">
      <c r="E32" s="63"/>
      <c r="G32" s="63"/>
    </row>
    <row r="63" spans="6:7">
      <c r="F63" s="63">
        <v>115000000</v>
      </c>
      <c r="G63" s="64">
        <v>115000000</v>
      </c>
    </row>
  </sheetData>
  <sortState xmlns:xlrd2="http://schemas.microsoft.com/office/spreadsheetml/2017/richdata2" ref="C5:G21">
    <sortCondition ref="C5"/>
  </sortState>
  <mergeCells count="6">
    <mergeCell ref="A1:G1"/>
    <mergeCell ref="A2:A3"/>
    <mergeCell ref="C2:C3"/>
    <mergeCell ref="F2:G3"/>
    <mergeCell ref="B2:B3"/>
    <mergeCell ref="D2:E3"/>
  </mergeCells>
  <pageMargins left="0.25" right="0.25" top="0.75" bottom="0.75" header="0.3" footer="0.3"/>
  <pageSetup paperSize="9" scale="80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17322-E81C-4427-8F63-7703F078AC1E}">
  <dimension ref="A1:F1010"/>
  <sheetViews>
    <sheetView zoomScale="115" zoomScaleNormal="115" workbookViewId="0">
      <pane ySplit="2" topLeftCell="A3" activePane="bottomLeft" state="frozen"/>
      <selection pane="bottomLeft" activeCell="H9" sqref="H9"/>
    </sheetView>
  </sheetViews>
  <sheetFormatPr defaultColWidth="10.140625" defaultRowHeight="12.75"/>
  <cols>
    <col min="1" max="1" width="63.28515625" style="17" bestFit="1" customWidth="1"/>
    <col min="2" max="2" width="21.7109375" style="17" bestFit="1" customWidth="1"/>
    <col min="3" max="3" width="12" style="17" customWidth="1"/>
    <col min="4" max="4" width="11.5703125" style="17" bestFit="1" customWidth="1"/>
    <col min="5" max="5" width="12" style="22" customWidth="1"/>
    <col min="6" max="1007" width="12" style="17" customWidth="1"/>
    <col min="1008" max="16384" width="10.140625" style="17"/>
  </cols>
  <sheetData>
    <row r="1" spans="1:6" s="16" customFormat="1" ht="33" customHeight="1">
      <c r="A1" s="16" t="s">
        <v>280</v>
      </c>
      <c r="B1" s="16" t="s">
        <v>281</v>
      </c>
      <c r="C1" s="16" t="s">
        <v>282</v>
      </c>
      <c r="D1" s="16" t="s">
        <v>283</v>
      </c>
      <c r="E1" s="21" t="s">
        <v>284</v>
      </c>
    </row>
    <row r="2" spans="1:6" s="16" customFormat="1">
      <c r="E2" s="21" t="s">
        <v>2149</v>
      </c>
      <c r="F2" s="16" t="s">
        <v>2150</v>
      </c>
    </row>
    <row r="3" spans="1:6" s="19" customFormat="1">
      <c r="A3" s="17" t="s">
        <v>0</v>
      </c>
      <c r="B3" s="17" t="s">
        <v>2030</v>
      </c>
      <c r="C3" s="18" t="s">
        <v>287</v>
      </c>
      <c r="D3" s="17"/>
      <c r="E3" s="22"/>
    </row>
    <row r="4" spans="1:6">
      <c r="A4" s="17" t="s">
        <v>749</v>
      </c>
      <c r="B4" s="17" t="s">
        <v>750</v>
      </c>
      <c r="C4" s="18" t="s">
        <v>287</v>
      </c>
    </row>
    <row r="5" spans="1:6">
      <c r="A5" s="17" t="s">
        <v>1001</v>
      </c>
      <c r="B5" s="17" t="s">
        <v>1002</v>
      </c>
      <c r="C5" s="18" t="s">
        <v>287</v>
      </c>
    </row>
    <row r="6" spans="1:6">
      <c r="A6" s="17" t="s">
        <v>158</v>
      </c>
      <c r="B6" s="17" t="s">
        <v>2031</v>
      </c>
      <c r="C6" s="18" t="s">
        <v>287</v>
      </c>
    </row>
    <row r="7" spans="1:6">
      <c r="A7" s="17" t="s">
        <v>751</v>
      </c>
      <c r="B7" s="17" t="s">
        <v>752</v>
      </c>
      <c r="C7" s="18" t="s">
        <v>287</v>
      </c>
    </row>
    <row r="8" spans="1:6">
      <c r="A8" s="17" t="s">
        <v>1003</v>
      </c>
      <c r="B8" s="17" t="s">
        <v>1004</v>
      </c>
      <c r="C8" s="18" t="s">
        <v>287</v>
      </c>
    </row>
    <row r="9" spans="1:6">
      <c r="A9" s="17" t="s">
        <v>2028</v>
      </c>
      <c r="B9" s="17" t="s">
        <v>2029</v>
      </c>
      <c r="C9" s="18" t="s">
        <v>287</v>
      </c>
    </row>
    <row r="10" spans="1:6">
      <c r="A10" s="17" t="s">
        <v>747</v>
      </c>
      <c r="B10" s="17" t="s">
        <v>748</v>
      </c>
      <c r="C10" s="18" t="s">
        <v>287</v>
      </c>
    </row>
    <row r="11" spans="1:6">
      <c r="A11" s="17" t="s">
        <v>999</v>
      </c>
      <c r="B11" s="17" t="s">
        <v>1000</v>
      </c>
      <c r="C11" s="18" t="s">
        <v>287</v>
      </c>
    </row>
    <row r="12" spans="1:6">
      <c r="A12" s="17" t="s">
        <v>396</v>
      </c>
      <c r="B12" s="17" t="s">
        <v>397</v>
      </c>
      <c r="C12" s="18" t="s">
        <v>287</v>
      </c>
      <c r="F12" s="22"/>
    </row>
    <row r="13" spans="1:6">
      <c r="A13" s="17" t="s">
        <v>2148</v>
      </c>
      <c r="B13" s="17" t="s">
        <v>398</v>
      </c>
      <c r="C13" s="18" t="s">
        <v>287</v>
      </c>
      <c r="F13" s="22"/>
    </row>
    <row r="14" spans="1:6">
      <c r="A14" s="17" t="s">
        <v>392</v>
      </c>
      <c r="B14" s="17" t="s">
        <v>393</v>
      </c>
      <c r="C14" s="18" t="s">
        <v>287</v>
      </c>
      <c r="F14" s="22"/>
    </row>
    <row r="15" spans="1:6">
      <c r="A15" s="17" t="s">
        <v>394</v>
      </c>
      <c r="B15" s="17" t="s">
        <v>395</v>
      </c>
      <c r="C15" s="18" t="s">
        <v>287</v>
      </c>
      <c r="F15" s="22"/>
    </row>
    <row r="16" spans="1:6">
      <c r="A16" s="17" t="s">
        <v>1</v>
      </c>
      <c r="B16" s="17" t="s">
        <v>473</v>
      </c>
      <c r="C16" s="18" t="s">
        <v>446</v>
      </c>
      <c r="F16" s="22"/>
    </row>
    <row r="17" spans="1:6">
      <c r="A17" s="17" t="s">
        <v>474</v>
      </c>
      <c r="B17" s="17" t="s">
        <v>475</v>
      </c>
      <c r="C17" s="18" t="s">
        <v>446</v>
      </c>
      <c r="F17" s="22"/>
    </row>
    <row r="18" spans="1:6">
      <c r="A18" s="17" t="s">
        <v>399</v>
      </c>
      <c r="B18" s="17" t="s">
        <v>400</v>
      </c>
      <c r="C18" s="18" t="s">
        <v>287</v>
      </c>
      <c r="F18" s="22"/>
    </row>
    <row r="19" spans="1:6">
      <c r="A19" s="17" t="s">
        <v>3</v>
      </c>
      <c r="B19" s="17" t="s">
        <v>476</v>
      </c>
      <c r="C19" s="18" t="s">
        <v>446</v>
      </c>
      <c r="F19" s="22"/>
    </row>
    <row r="20" spans="1:6">
      <c r="A20" s="17" t="s">
        <v>5</v>
      </c>
      <c r="B20" s="17" t="s">
        <v>477</v>
      </c>
      <c r="C20" s="18" t="s">
        <v>446</v>
      </c>
      <c r="F20" s="22"/>
    </row>
    <row r="21" spans="1:6">
      <c r="A21" s="17" t="s">
        <v>9</v>
      </c>
      <c r="B21" s="17" t="s">
        <v>478</v>
      </c>
      <c r="C21" s="18" t="s">
        <v>446</v>
      </c>
      <c r="F21" s="22"/>
    </row>
    <row r="22" spans="1:6">
      <c r="A22" s="17" t="s">
        <v>88</v>
      </c>
      <c r="B22" s="17" t="s">
        <v>2026</v>
      </c>
      <c r="C22" s="18" t="s">
        <v>287</v>
      </c>
    </row>
    <row r="23" spans="1:6">
      <c r="A23" s="17" t="s">
        <v>743</v>
      </c>
      <c r="B23" s="17" t="s">
        <v>744</v>
      </c>
      <c r="C23" s="18" t="s">
        <v>287</v>
      </c>
    </row>
    <row r="24" spans="1:6">
      <c r="A24" s="17" t="s">
        <v>995</v>
      </c>
      <c r="B24" s="17" t="s">
        <v>996</v>
      </c>
      <c r="C24" s="18" t="s">
        <v>287</v>
      </c>
    </row>
    <row r="25" spans="1:6">
      <c r="A25" s="17" t="s">
        <v>256</v>
      </c>
      <c r="B25" s="17" t="s">
        <v>2019</v>
      </c>
      <c r="C25" s="18" t="s">
        <v>287</v>
      </c>
    </row>
    <row r="26" spans="1:6">
      <c r="A26" s="17" t="s">
        <v>729</v>
      </c>
      <c r="B26" s="17" t="s">
        <v>730</v>
      </c>
      <c r="C26" s="18" t="s">
        <v>287</v>
      </c>
    </row>
    <row r="27" spans="1:6">
      <c r="A27" s="17" t="s">
        <v>981</v>
      </c>
      <c r="B27" s="17" t="s">
        <v>982</v>
      </c>
      <c r="C27" s="18" t="s">
        <v>287</v>
      </c>
    </row>
    <row r="28" spans="1:6">
      <c r="A28" s="17" t="s">
        <v>10</v>
      </c>
      <c r="B28" s="17" t="s">
        <v>2020</v>
      </c>
      <c r="C28" s="18" t="s">
        <v>287</v>
      </c>
    </row>
    <row r="29" spans="1:6">
      <c r="A29" s="17" t="s">
        <v>731</v>
      </c>
      <c r="B29" s="17" t="s">
        <v>732</v>
      </c>
      <c r="C29" s="18" t="s">
        <v>287</v>
      </c>
    </row>
    <row r="30" spans="1:6">
      <c r="A30" s="17" t="s">
        <v>983</v>
      </c>
      <c r="B30" s="17" t="s">
        <v>984</v>
      </c>
      <c r="C30" s="18" t="s">
        <v>287</v>
      </c>
    </row>
    <row r="31" spans="1:6">
      <c r="A31" s="17" t="s">
        <v>242</v>
      </c>
      <c r="B31" s="17" t="s">
        <v>2021</v>
      </c>
      <c r="C31" s="18" t="s">
        <v>287</v>
      </c>
    </row>
    <row r="32" spans="1:6">
      <c r="A32" s="17" t="s">
        <v>733</v>
      </c>
      <c r="B32" s="17" t="s">
        <v>734</v>
      </c>
      <c r="C32" s="18" t="s">
        <v>287</v>
      </c>
    </row>
    <row r="33" spans="1:3">
      <c r="A33" s="17" t="s">
        <v>985</v>
      </c>
      <c r="B33" s="17" t="s">
        <v>986</v>
      </c>
      <c r="C33" s="18" t="s">
        <v>287</v>
      </c>
    </row>
    <row r="34" spans="1:3">
      <c r="A34" s="17" t="s">
        <v>2017</v>
      </c>
      <c r="B34" s="17" t="s">
        <v>2018</v>
      </c>
      <c r="C34" s="18" t="s">
        <v>287</v>
      </c>
    </row>
    <row r="35" spans="1:3">
      <c r="A35" s="17" t="s">
        <v>727</v>
      </c>
      <c r="B35" s="17" t="s">
        <v>728</v>
      </c>
      <c r="C35" s="18" t="s">
        <v>287</v>
      </c>
    </row>
    <row r="36" spans="1:3">
      <c r="A36" s="17" t="s">
        <v>979</v>
      </c>
      <c r="B36" s="17" t="s">
        <v>980</v>
      </c>
      <c r="C36" s="18" t="s">
        <v>287</v>
      </c>
    </row>
    <row r="37" spans="1:3">
      <c r="A37" s="17" t="s">
        <v>267</v>
      </c>
      <c r="B37" s="17" t="s">
        <v>2022</v>
      </c>
      <c r="C37" s="18" t="s">
        <v>287</v>
      </c>
    </row>
    <row r="38" spans="1:3">
      <c r="A38" s="17" t="s">
        <v>735</v>
      </c>
      <c r="B38" s="17" t="s">
        <v>736</v>
      </c>
      <c r="C38" s="18" t="s">
        <v>287</v>
      </c>
    </row>
    <row r="39" spans="1:3">
      <c r="A39" s="17" t="s">
        <v>987</v>
      </c>
      <c r="B39" s="17" t="s">
        <v>988</v>
      </c>
      <c r="C39" s="18" t="s">
        <v>287</v>
      </c>
    </row>
    <row r="40" spans="1:3">
      <c r="A40" s="17" t="s">
        <v>11</v>
      </c>
      <c r="B40" s="17" t="s">
        <v>2023</v>
      </c>
      <c r="C40" s="18" t="s">
        <v>287</v>
      </c>
    </row>
    <row r="41" spans="1:3">
      <c r="A41" s="17" t="s">
        <v>737</v>
      </c>
      <c r="B41" s="17" t="s">
        <v>738</v>
      </c>
      <c r="C41" s="18" t="s">
        <v>287</v>
      </c>
    </row>
    <row r="42" spans="1:3">
      <c r="A42" s="17" t="s">
        <v>989</v>
      </c>
      <c r="B42" s="17" t="s">
        <v>990</v>
      </c>
      <c r="C42" s="18" t="s">
        <v>287</v>
      </c>
    </row>
    <row r="43" spans="1:3">
      <c r="A43" s="17" t="s">
        <v>2137</v>
      </c>
      <c r="B43" s="17" t="s">
        <v>2138</v>
      </c>
      <c r="C43" s="18" t="s">
        <v>287</v>
      </c>
    </row>
    <row r="44" spans="1:3">
      <c r="A44" s="17" t="s">
        <v>255</v>
      </c>
      <c r="B44" s="17" t="s">
        <v>2024</v>
      </c>
      <c r="C44" s="18" t="s">
        <v>287</v>
      </c>
    </row>
    <row r="45" spans="1:3">
      <c r="A45" s="17" t="s">
        <v>739</v>
      </c>
      <c r="B45" s="17" t="s">
        <v>740</v>
      </c>
      <c r="C45" s="18" t="s">
        <v>287</v>
      </c>
    </row>
    <row r="46" spans="1:3">
      <c r="A46" s="17" t="s">
        <v>991</v>
      </c>
      <c r="B46" s="17" t="s">
        <v>992</v>
      </c>
      <c r="C46" s="18" t="s">
        <v>287</v>
      </c>
    </row>
    <row r="47" spans="1:3">
      <c r="A47" s="17" t="s">
        <v>2015</v>
      </c>
      <c r="B47" s="17" t="s">
        <v>2016</v>
      </c>
      <c r="C47" s="18" t="s">
        <v>287</v>
      </c>
    </row>
    <row r="48" spans="1:3">
      <c r="A48" s="17" t="s">
        <v>725</v>
      </c>
      <c r="B48" s="17" t="s">
        <v>726</v>
      </c>
      <c r="C48" s="18" t="s">
        <v>287</v>
      </c>
    </row>
    <row r="49" spans="1:3">
      <c r="A49" s="17" t="s">
        <v>977</v>
      </c>
      <c r="B49" s="17" t="s">
        <v>978</v>
      </c>
      <c r="C49" s="18" t="s">
        <v>287</v>
      </c>
    </row>
    <row r="50" spans="1:3">
      <c r="A50" s="17" t="s">
        <v>155</v>
      </c>
      <c r="B50" s="17" t="s">
        <v>2027</v>
      </c>
      <c r="C50" s="18" t="s">
        <v>287</v>
      </c>
    </row>
    <row r="51" spans="1:3">
      <c r="A51" s="17" t="s">
        <v>745</v>
      </c>
      <c r="B51" s="17" t="s">
        <v>746</v>
      </c>
      <c r="C51" s="18" t="s">
        <v>287</v>
      </c>
    </row>
    <row r="52" spans="1:3">
      <c r="A52" s="17" t="s">
        <v>997</v>
      </c>
      <c r="B52" s="17" t="s">
        <v>998</v>
      </c>
      <c r="C52" s="18" t="s">
        <v>287</v>
      </c>
    </row>
    <row r="53" spans="1:3">
      <c r="A53" s="17" t="s">
        <v>154</v>
      </c>
      <c r="B53" s="17" t="s">
        <v>2025</v>
      </c>
      <c r="C53" s="18" t="s">
        <v>287</v>
      </c>
    </row>
    <row r="54" spans="1:3">
      <c r="A54" s="17" t="s">
        <v>741</v>
      </c>
      <c r="B54" s="17" t="s">
        <v>742</v>
      </c>
      <c r="C54" s="18" t="s">
        <v>287</v>
      </c>
    </row>
    <row r="55" spans="1:3">
      <c r="A55" s="17" t="s">
        <v>993</v>
      </c>
      <c r="B55" s="17" t="s">
        <v>994</v>
      </c>
      <c r="C55" s="18" t="s">
        <v>287</v>
      </c>
    </row>
    <row r="56" spans="1:3">
      <c r="A56" s="17" t="s">
        <v>2133</v>
      </c>
      <c r="B56" s="17" t="s">
        <v>2134</v>
      </c>
      <c r="C56" s="18" t="s">
        <v>287</v>
      </c>
    </row>
    <row r="57" spans="1:3">
      <c r="A57" s="17" t="s">
        <v>2084</v>
      </c>
      <c r="B57" s="17" t="s">
        <v>2085</v>
      </c>
      <c r="C57" s="18" t="s">
        <v>287</v>
      </c>
    </row>
    <row r="58" spans="1:3">
      <c r="A58" s="17" t="s">
        <v>2086</v>
      </c>
      <c r="B58" s="17" t="s">
        <v>2087</v>
      </c>
      <c r="C58" s="18" t="s">
        <v>287</v>
      </c>
    </row>
    <row r="59" spans="1:3">
      <c r="A59" s="17" t="s">
        <v>2088</v>
      </c>
      <c r="B59" s="17" t="s">
        <v>2089</v>
      </c>
      <c r="C59" s="18" t="s">
        <v>287</v>
      </c>
    </row>
    <row r="60" spans="1:3">
      <c r="A60" s="17" t="s">
        <v>2090</v>
      </c>
      <c r="B60" s="17" t="s">
        <v>2091</v>
      </c>
      <c r="C60" s="18" t="s">
        <v>287</v>
      </c>
    </row>
    <row r="61" spans="1:3">
      <c r="A61" s="17" t="s">
        <v>2092</v>
      </c>
      <c r="B61" s="17" t="s">
        <v>2093</v>
      </c>
      <c r="C61" s="18" t="s">
        <v>287</v>
      </c>
    </row>
    <row r="62" spans="1:3">
      <c r="A62" s="17" t="s">
        <v>2094</v>
      </c>
      <c r="B62" s="17" t="s">
        <v>2095</v>
      </c>
      <c r="C62" s="18" t="s">
        <v>287</v>
      </c>
    </row>
    <row r="63" spans="1:3">
      <c r="A63" s="17" t="s">
        <v>1975</v>
      </c>
      <c r="B63" s="17" t="s">
        <v>1976</v>
      </c>
      <c r="C63" s="18" t="s">
        <v>287</v>
      </c>
    </row>
    <row r="64" spans="1:3">
      <c r="A64" s="17" t="s">
        <v>683</v>
      </c>
      <c r="B64" s="17" t="s">
        <v>684</v>
      </c>
      <c r="C64" s="18" t="s">
        <v>287</v>
      </c>
    </row>
    <row r="65" spans="1:3">
      <c r="A65" s="17" t="s">
        <v>935</v>
      </c>
      <c r="B65" s="17" t="s">
        <v>936</v>
      </c>
      <c r="C65" s="18" t="s">
        <v>287</v>
      </c>
    </row>
    <row r="66" spans="1:3">
      <c r="A66" s="17" t="s">
        <v>1991</v>
      </c>
      <c r="B66" s="17" t="s">
        <v>1992</v>
      </c>
      <c r="C66" s="18" t="s">
        <v>287</v>
      </c>
    </row>
    <row r="67" spans="1:3">
      <c r="A67" s="17" t="s">
        <v>699</v>
      </c>
      <c r="B67" s="17" t="s">
        <v>700</v>
      </c>
      <c r="C67" s="18" t="s">
        <v>287</v>
      </c>
    </row>
    <row r="68" spans="1:3">
      <c r="A68" s="17" t="s">
        <v>951</v>
      </c>
      <c r="B68" s="17" t="s">
        <v>952</v>
      </c>
      <c r="C68" s="18" t="s">
        <v>287</v>
      </c>
    </row>
    <row r="69" spans="1:3">
      <c r="A69" s="17" t="s">
        <v>1959</v>
      </c>
      <c r="B69" s="17" t="s">
        <v>1960</v>
      </c>
      <c r="C69" s="18" t="s">
        <v>287</v>
      </c>
    </row>
    <row r="70" spans="1:3">
      <c r="A70" s="17" t="s">
        <v>667</v>
      </c>
      <c r="B70" s="17" t="s">
        <v>668</v>
      </c>
      <c r="C70" s="18" t="s">
        <v>287</v>
      </c>
    </row>
    <row r="71" spans="1:3">
      <c r="A71" s="17" t="s">
        <v>919</v>
      </c>
      <c r="B71" s="17" t="s">
        <v>920</v>
      </c>
      <c r="C71" s="18" t="s">
        <v>287</v>
      </c>
    </row>
    <row r="72" spans="1:3">
      <c r="A72" s="17" t="s">
        <v>1977</v>
      </c>
      <c r="B72" s="17" t="s">
        <v>1978</v>
      </c>
      <c r="C72" s="18" t="s">
        <v>287</v>
      </c>
    </row>
    <row r="73" spans="1:3">
      <c r="A73" s="17" t="s">
        <v>685</v>
      </c>
      <c r="B73" s="17" t="s">
        <v>686</v>
      </c>
      <c r="C73" s="18" t="s">
        <v>287</v>
      </c>
    </row>
    <row r="74" spans="1:3">
      <c r="A74" s="17" t="s">
        <v>937</v>
      </c>
      <c r="B74" s="17" t="s">
        <v>938</v>
      </c>
      <c r="C74" s="18" t="s">
        <v>287</v>
      </c>
    </row>
    <row r="75" spans="1:3">
      <c r="A75" s="17" t="s">
        <v>1993</v>
      </c>
      <c r="B75" s="17" t="s">
        <v>1994</v>
      </c>
      <c r="C75" s="18" t="s">
        <v>287</v>
      </c>
    </row>
    <row r="76" spans="1:3">
      <c r="A76" s="17" t="s">
        <v>701</v>
      </c>
      <c r="B76" s="17" t="s">
        <v>702</v>
      </c>
      <c r="C76" s="18" t="s">
        <v>287</v>
      </c>
    </row>
    <row r="77" spans="1:3">
      <c r="A77" s="17" t="s">
        <v>953</v>
      </c>
      <c r="B77" s="17" t="s">
        <v>954</v>
      </c>
      <c r="C77" s="18" t="s">
        <v>287</v>
      </c>
    </row>
    <row r="78" spans="1:3">
      <c r="A78" s="17" t="s">
        <v>1961</v>
      </c>
      <c r="B78" s="17" t="s">
        <v>1962</v>
      </c>
      <c r="C78" s="18" t="s">
        <v>287</v>
      </c>
    </row>
    <row r="79" spans="1:3">
      <c r="A79" s="17" t="s">
        <v>669</v>
      </c>
      <c r="B79" s="17" t="s">
        <v>670</v>
      </c>
      <c r="C79" s="18" t="s">
        <v>287</v>
      </c>
    </row>
    <row r="80" spans="1:3">
      <c r="A80" s="17" t="s">
        <v>921</v>
      </c>
      <c r="B80" s="17" t="s">
        <v>922</v>
      </c>
      <c r="C80" s="18" t="s">
        <v>287</v>
      </c>
    </row>
    <row r="81" spans="1:3">
      <c r="A81" s="17" t="s">
        <v>1979</v>
      </c>
      <c r="B81" s="17" t="s">
        <v>1980</v>
      </c>
      <c r="C81" s="18" t="s">
        <v>287</v>
      </c>
    </row>
    <row r="82" spans="1:3">
      <c r="A82" s="17" t="s">
        <v>687</v>
      </c>
      <c r="B82" s="17" t="s">
        <v>688</v>
      </c>
      <c r="C82" s="18" t="s">
        <v>287</v>
      </c>
    </row>
    <row r="83" spans="1:3">
      <c r="A83" s="17" t="s">
        <v>939</v>
      </c>
      <c r="B83" s="17" t="s">
        <v>940</v>
      </c>
      <c r="C83" s="18" t="s">
        <v>287</v>
      </c>
    </row>
    <row r="84" spans="1:3">
      <c r="A84" s="17" t="s">
        <v>1995</v>
      </c>
      <c r="B84" s="17" t="s">
        <v>1996</v>
      </c>
      <c r="C84" s="18" t="s">
        <v>287</v>
      </c>
    </row>
    <row r="85" spans="1:3">
      <c r="A85" s="17" t="s">
        <v>703</v>
      </c>
      <c r="B85" s="17" t="s">
        <v>704</v>
      </c>
      <c r="C85" s="18" t="s">
        <v>287</v>
      </c>
    </row>
    <row r="86" spans="1:3">
      <c r="A86" s="17" t="s">
        <v>955</v>
      </c>
      <c r="B86" s="17" t="s">
        <v>956</v>
      </c>
      <c r="C86" s="18" t="s">
        <v>287</v>
      </c>
    </row>
    <row r="87" spans="1:3">
      <c r="A87" s="17" t="s">
        <v>1963</v>
      </c>
      <c r="B87" s="17" t="s">
        <v>1964</v>
      </c>
      <c r="C87" s="18" t="s">
        <v>287</v>
      </c>
    </row>
    <row r="88" spans="1:3">
      <c r="A88" s="17" t="s">
        <v>671</v>
      </c>
      <c r="B88" s="17" t="s">
        <v>672</v>
      </c>
      <c r="C88" s="18" t="s">
        <v>287</v>
      </c>
    </row>
    <row r="89" spans="1:3">
      <c r="A89" s="17" t="s">
        <v>923</v>
      </c>
      <c r="B89" s="17" t="s">
        <v>924</v>
      </c>
      <c r="C89" s="18" t="s">
        <v>287</v>
      </c>
    </row>
    <row r="90" spans="1:3">
      <c r="A90" s="17" t="s">
        <v>1981</v>
      </c>
      <c r="B90" s="17" t="s">
        <v>1982</v>
      </c>
      <c r="C90" s="18" t="s">
        <v>287</v>
      </c>
    </row>
    <row r="91" spans="1:3">
      <c r="A91" s="17" t="s">
        <v>689</v>
      </c>
      <c r="B91" s="17" t="s">
        <v>690</v>
      </c>
      <c r="C91" s="18" t="s">
        <v>287</v>
      </c>
    </row>
    <row r="92" spans="1:3">
      <c r="A92" s="17" t="s">
        <v>941</v>
      </c>
      <c r="B92" s="17" t="s">
        <v>942</v>
      </c>
      <c r="C92" s="18" t="s">
        <v>287</v>
      </c>
    </row>
    <row r="93" spans="1:3">
      <c r="A93" s="17" t="s">
        <v>1997</v>
      </c>
      <c r="B93" s="17" t="s">
        <v>1998</v>
      </c>
      <c r="C93" s="18" t="s">
        <v>287</v>
      </c>
    </row>
    <row r="94" spans="1:3">
      <c r="A94" s="17" t="s">
        <v>705</v>
      </c>
      <c r="B94" s="17" t="s">
        <v>706</v>
      </c>
      <c r="C94" s="18" t="s">
        <v>287</v>
      </c>
    </row>
    <row r="95" spans="1:3">
      <c r="A95" s="17" t="s">
        <v>957</v>
      </c>
      <c r="B95" s="17" t="s">
        <v>958</v>
      </c>
      <c r="C95" s="18" t="s">
        <v>287</v>
      </c>
    </row>
    <row r="96" spans="1:3">
      <c r="A96" s="17" t="s">
        <v>1965</v>
      </c>
      <c r="B96" s="17" t="s">
        <v>1966</v>
      </c>
      <c r="C96" s="18" t="s">
        <v>287</v>
      </c>
    </row>
    <row r="97" spans="1:3">
      <c r="A97" s="17" t="s">
        <v>673</v>
      </c>
      <c r="B97" s="17" t="s">
        <v>674</v>
      </c>
      <c r="C97" s="18" t="s">
        <v>287</v>
      </c>
    </row>
    <row r="98" spans="1:3">
      <c r="A98" s="17" t="s">
        <v>925</v>
      </c>
      <c r="B98" s="17" t="s">
        <v>926</v>
      </c>
      <c r="C98" s="18" t="s">
        <v>287</v>
      </c>
    </row>
    <row r="99" spans="1:3">
      <c r="A99" s="17" t="s">
        <v>1989</v>
      </c>
      <c r="B99" s="17" t="s">
        <v>1990</v>
      </c>
      <c r="C99" s="18" t="s">
        <v>287</v>
      </c>
    </row>
    <row r="100" spans="1:3">
      <c r="A100" s="17" t="s">
        <v>697</v>
      </c>
      <c r="B100" s="17" t="s">
        <v>698</v>
      </c>
      <c r="C100" s="18" t="s">
        <v>287</v>
      </c>
    </row>
    <row r="101" spans="1:3">
      <c r="A101" s="17" t="s">
        <v>949</v>
      </c>
      <c r="B101" s="17" t="s">
        <v>950</v>
      </c>
      <c r="C101" s="18" t="s">
        <v>287</v>
      </c>
    </row>
    <row r="102" spans="1:3">
      <c r="A102" s="17" t="s">
        <v>2005</v>
      </c>
      <c r="B102" s="17" t="s">
        <v>2006</v>
      </c>
      <c r="C102" s="18" t="s">
        <v>287</v>
      </c>
    </row>
    <row r="103" spans="1:3">
      <c r="A103" s="17" t="s">
        <v>713</v>
      </c>
      <c r="B103" s="17" t="s">
        <v>714</v>
      </c>
      <c r="C103" s="18" t="s">
        <v>287</v>
      </c>
    </row>
    <row r="104" spans="1:3">
      <c r="A104" s="17" t="s">
        <v>965</v>
      </c>
      <c r="B104" s="17" t="s">
        <v>966</v>
      </c>
      <c r="C104" s="18" t="s">
        <v>287</v>
      </c>
    </row>
    <row r="105" spans="1:3">
      <c r="A105" s="17" t="s">
        <v>1983</v>
      </c>
      <c r="B105" s="17" t="s">
        <v>1984</v>
      </c>
      <c r="C105" s="18" t="s">
        <v>287</v>
      </c>
    </row>
    <row r="106" spans="1:3">
      <c r="A106" s="17" t="s">
        <v>691</v>
      </c>
      <c r="B106" s="17" t="s">
        <v>692</v>
      </c>
      <c r="C106" s="18" t="s">
        <v>287</v>
      </c>
    </row>
    <row r="107" spans="1:3">
      <c r="A107" s="17" t="s">
        <v>943</v>
      </c>
      <c r="B107" s="17" t="s">
        <v>944</v>
      </c>
      <c r="C107" s="18" t="s">
        <v>287</v>
      </c>
    </row>
    <row r="108" spans="1:3">
      <c r="A108" s="17" t="s">
        <v>1999</v>
      </c>
      <c r="B108" s="17" t="s">
        <v>2000</v>
      </c>
      <c r="C108" s="18" t="s">
        <v>287</v>
      </c>
    </row>
    <row r="109" spans="1:3">
      <c r="A109" s="17" t="s">
        <v>707</v>
      </c>
      <c r="B109" s="17" t="s">
        <v>708</v>
      </c>
      <c r="C109" s="18" t="s">
        <v>287</v>
      </c>
    </row>
    <row r="110" spans="1:3">
      <c r="A110" s="17" t="s">
        <v>959</v>
      </c>
      <c r="B110" s="17" t="s">
        <v>960</v>
      </c>
      <c r="C110" s="18" t="s">
        <v>287</v>
      </c>
    </row>
    <row r="111" spans="1:3">
      <c r="A111" s="17" t="s">
        <v>1967</v>
      </c>
      <c r="B111" s="17" t="s">
        <v>1968</v>
      </c>
      <c r="C111" s="18" t="s">
        <v>287</v>
      </c>
    </row>
    <row r="112" spans="1:3">
      <c r="A112" s="17" t="s">
        <v>675</v>
      </c>
      <c r="B112" s="17" t="s">
        <v>676</v>
      </c>
      <c r="C112" s="18" t="s">
        <v>287</v>
      </c>
    </row>
    <row r="113" spans="1:3">
      <c r="A113" s="17" t="s">
        <v>927</v>
      </c>
      <c r="B113" s="17" t="s">
        <v>928</v>
      </c>
      <c r="C113" s="18" t="s">
        <v>287</v>
      </c>
    </row>
    <row r="114" spans="1:3">
      <c r="A114" s="17" t="s">
        <v>1969</v>
      </c>
      <c r="B114" s="17" t="s">
        <v>1970</v>
      </c>
      <c r="C114" s="18" t="s">
        <v>287</v>
      </c>
    </row>
    <row r="115" spans="1:3">
      <c r="A115" s="17" t="s">
        <v>677</v>
      </c>
      <c r="B115" s="17" t="s">
        <v>678</v>
      </c>
      <c r="C115" s="18" t="s">
        <v>287</v>
      </c>
    </row>
    <row r="116" spans="1:3">
      <c r="A116" s="17" t="s">
        <v>929</v>
      </c>
      <c r="B116" s="17" t="s">
        <v>930</v>
      </c>
      <c r="C116" s="18" t="s">
        <v>287</v>
      </c>
    </row>
    <row r="117" spans="1:3">
      <c r="A117" s="17" t="s">
        <v>2001</v>
      </c>
      <c r="B117" s="17" t="s">
        <v>2002</v>
      </c>
      <c r="C117" s="18" t="s">
        <v>287</v>
      </c>
    </row>
    <row r="118" spans="1:3">
      <c r="A118" s="17" t="s">
        <v>709</v>
      </c>
      <c r="B118" s="17" t="s">
        <v>710</v>
      </c>
      <c r="C118" s="18" t="s">
        <v>287</v>
      </c>
    </row>
    <row r="119" spans="1:3">
      <c r="A119" s="17" t="s">
        <v>961</v>
      </c>
      <c r="B119" s="17" t="s">
        <v>962</v>
      </c>
      <c r="C119" s="18" t="s">
        <v>287</v>
      </c>
    </row>
    <row r="120" spans="1:3">
      <c r="A120" s="17" t="s">
        <v>1971</v>
      </c>
      <c r="B120" s="17" t="s">
        <v>1972</v>
      </c>
      <c r="C120" s="18" t="s">
        <v>287</v>
      </c>
    </row>
    <row r="121" spans="1:3">
      <c r="A121" s="17" t="s">
        <v>679</v>
      </c>
      <c r="B121" s="17" t="s">
        <v>680</v>
      </c>
      <c r="C121" s="18" t="s">
        <v>287</v>
      </c>
    </row>
    <row r="122" spans="1:3">
      <c r="A122" s="17" t="s">
        <v>931</v>
      </c>
      <c r="B122" s="17" t="s">
        <v>932</v>
      </c>
      <c r="C122" s="18" t="s">
        <v>287</v>
      </c>
    </row>
    <row r="123" spans="1:3">
      <c r="A123" s="17" t="s">
        <v>1985</v>
      </c>
      <c r="B123" s="17" t="s">
        <v>1986</v>
      </c>
      <c r="C123" s="18" t="s">
        <v>287</v>
      </c>
    </row>
    <row r="124" spans="1:3">
      <c r="A124" s="17" t="s">
        <v>693</v>
      </c>
      <c r="B124" s="17" t="s">
        <v>694</v>
      </c>
      <c r="C124" s="18" t="s">
        <v>287</v>
      </c>
    </row>
    <row r="125" spans="1:3">
      <c r="A125" s="17" t="s">
        <v>945</v>
      </c>
      <c r="B125" s="17" t="s">
        <v>946</v>
      </c>
      <c r="C125" s="18" t="s">
        <v>287</v>
      </c>
    </row>
    <row r="126" spans="1:3">
      <c r="A126" s="17" t="s">
        <v>1987</v>
      </c>
      <c r="B126" s="17" t="s">
        <v>1988</v>
      </c>
      <c r="C126" s="18" t="s">
        <v>287</v>
      </c>
    </row>
    <row r="127" spans="1:3">
      <c r="A127" s="17" t="s">
        <v>695</v>
      </c>
      <c r="B127" s="17" t="s">
        <v>696</v>
      </c>
      <c r="C127" s="18" t="s">
        <v>287</v>
      </c>
    </row>
    <row r="128" spans="1:3">
      <c r="A128" s="17" t="s">
        <v>947</v>
      </c>
      <c r="B128" s="17" t="s">
        <v>948</v>
      </c>
      <c r="C128" s="18" t="s">
        <v>287</v>
      </c>
    </row>
    <row r="129" spans="1:3">
      <c r="A129" s="17" t="s">
        <v>2003</v>
      </c>
      <c r="B129" s="17" t="s">
        <v>2004</v>
      </c>
      <c r="C129" s="18" t="s">
        <v>287</v>
      </c>
    </row>
    <row r="130" spans="1:3">
      <c r="A130" s="17" t="s">
        <v>711</v>
      </c>
      <c r="B130" s="17" t="s">
        <v>712</v>
      </c>
      <c r="C130" s="18" t="s">
        <v>287</v>
      </c>
    </row>
    <row r="131" spans="1:3">
      <c r="A131" s="17" t="s">
        <v>963</v>
      </c>
      <c r="B131" s="17" t="s">
        <v>964</v>
      </c>
      <c r="C131" s="18" t="s">
        <v>287</v>
      </c>
    </row>
    <row r="132" spans="1:3">
      <c r="A132" s="17" t="s">
        <v>1973</v>
      </c>
      <c r="B132" s="17" t="s">
        <v>1974</v>
      </c>
      <c r="C132" s="18" t="s">
        <v>287</v>
      </c>
    </row>
    <row r="133" spans="1:3">
      <c r="A133" s="17" t="s">
        <v>681</v>
      </c>
      <c r="B133" s="17" t="s">
        <v>682</v>
      </c>
      <c r="C133" s="18" t="s">
        <v>287</v>
      </c>
    </row>
    <row r="134" spans="1:3">
      <c r="A134" s="17" t="s">
        <v>933</v>
      </c>
      <c r="B134" s="17" t="s">
        <v>934</v>
      </c>
      <c r="C134" s="18" t="s">
        <v>287</v>
      </c>
    </row>
    <row r="135" spans="1:3">
      <c r="A135" s="17" t="s">
        <v>2096</v>
      </c>
      <c r="B135" s="17" t="s">
        <v>2097</v>
      </c>
      <c r="C135" s="18" t="s">
        <v>287</v>
      </c>
    </row>
    <row r="136" spans="1:3">
      <c r="A136" s="17" t="s">
        <v>153</v>
      </c>
      <c r="B136" s="17" t="s">
        <v>2013</v>
      </c>
      <c r="C136" s="18" t="s">
        <v>287</v>
      </c>
    </row>
    <row r="137" spans="1:3">
      <c r="A137" s="17" t="s">
        <v>721</v>
      </c>
      <c r="B137" s="17" t="s">
        <v>722</v>
      </c>
      <c r="C137" s="18" t="s">
        <v>287</v>
      </c>
    </row>
    <row r="138" spans="1:3">
      <c r="A138" s="17" t="s">
        <v>973</v>
      </c>
      <c r="B138" s="17" t="s">
        <v>974</v>
      </c>
      <c r="C138" s="18" t="s">
        <v>287</v>
      </c>
    </row>
    <row r="139" spans="1:3">
      <c r="A139" s="17" t="s">
        <v>2098</v>
      </c>
      <c r="B139" s="17" t="s">
        <v>2099</v>
      </c>
      <c r="C139" s="18" t="s">
        <v>287</v>
      </c>
    </row>
    <row r="140" spans="1:3">
      <c r="A140" s="17" t="s">
        <v>2100</v>
      </c>
      <c r="B140" s="17" t="s">
        <v>2101</v>
      </c>
      <c r="C140" s="18" t="s">
        <v>287</v>
      </c>
    </row>
    <row r="141" spans="1:3">
      <c r="A141" s="17" t="s">
        <v>2102</v>
      </c>
      <c r="B141" s="17" t="s">
        <v>2103</v>
      </c>
      <c r="C141" s="18" t="s">
        <v>287</v>
      </c>
    </row>
    <row r="142" spans="1:3">
      <c r="A142" s="17" t="s">
        <v>2104</v>
      </c>
      <c r="B142" s="17" t="s">
        <v>2105</v>
      </c>
      <c r="C142" s="18" t="s">
        <v>287</v>
      </c>
    </row>
    <row r="143" spans="1:3">
      <c r="A143" s="17" t="s">
        <v>2106</v>
      </c>
      <c r="B143" s="17" t="s">
        <v>2107</v>
      </c>
      <c r="C143" s="18" t="s">
        <v>287</v>
      </c>
    </row>
    <row r="144" spans="1:3">
      <c r="A144" s="17" t="s">
        <v>2108</v>
      </c>
      <c r="B144" s="17" t="s">
        <v>2109</v>
      </c>
      <c r="C144" s="18" t="s">
        <v>287</v>
      </c>
    </row>
    <row r="145" spans="1:3">
      <c r="A145" s="17" t="s">
        <v>2143</v>
      </c>
      <c r="B145" s="17" t="s">
        <v>2144</v>
      </c>
      <c r="C145" s="18" t="s">
        <v>287</v>
      </c>
    </row>
    <row r="146" spans="1:3">
      <c r="A146" s="17" t="s">
        <v>12</v>
      </c>
      <c r="B146" s="17" t="s">
        <v>1935</v>
      </c>
      <c r="C146" s="18" t="s">
        <v>287</v>
      </c>
    </row>
    <row r="147" spans="1:3">
      <c r="A147" s="17" t="s">
        <v>631</v>
      </c>
      <c r="B147" s="17" t="s">
        <v>632</v>
      </c>
      <c r="C147" s="18" t="s">
        <v>287</v>
      </c>
    </row>
    <row r="148" spans="1:3">
      <c r="A148" s="17" t="s">
        <v>883</v>
      </c>
      <c r="B148" s="17" t="s">
        <v>884</v>
      </c>
      <c r="C148" s="18" t="s">
        <v>287</v>
      </c>
    </row>
    <row r="149" spans="1:3">
      <c r="A149" s="17" t="s">
        <v>272</v>
      </c>
      <c r="B149" s="17" t="s">
        <v>1937</v>
      </c>
      <c r="C149" s="18" t="s">
        <v>287</v>
      </c>
    </row>
    <row r="150" spans="1:3">
      <c r="A150" s="17" t="s">
        <v>635</v>
      </c>
      <c r="B150" s="17" t="s">
        <v>636</v>
      </c>
      <c r="C150" s="18" t="s">
        <v>287</v>
      </c>
    </row>
    <row r="151" spans="1:3">
      <c r="A151" s="17" t="s">
        <v>887</v>
      </c>
      <c r="B151" s="17" t="s">
        <v>888</v>
      </c>
      <c r="C151" s="18" t="s">
        <v>287</v>
      </c>
    </row>
    <row r="152" spans="1:3">
      <c r="A152" s="17" t="s">
        <v>273</v>
      </c>
      <c r="B152" s="17" t="s">
        <v>1938</v>
      </c>
      <c r="C152" s="18" t="s">
        <v>287</v>
      </c>
    </row>
    <row r="153" spans="1:3">
      <c r="A153" s="17" t="s">
        <v>637</v>
      </c>
      <c r="B153" s="17" t="s">
        <v>638</v>
      </c>
      <c r="C153" s="18" t="s">
        <v>287</v>
      </c>
    </row>
    <row r="154" spans="1:3">
      <c r="A154" s="17" t="s">
        <v>889</v>
      </c>
      <c r="B154" s="17" t="s">
        <v>890</v>
      </c>
      <c r="C154" s="18" t="s">
        <v>287</v>
      </c>
    </row>
    <row r="155" spans="1:3">
      <c r="A155" s="17" t="s">
        <v>13</v>
      </c>
      <c r="B155" s="17" t="s">
        <v>1936</v>
      </c>
      <c r="C155" s="18" t="s">
        <v>287</v>
      </c>
    </row>
    <row r="156" spans="1:3">
      <c r="A156" s="17" t="s">
        <v>633</v>
      </c>
      <c r="B156" s="17" t="s">
        <v>634</v>
      </c>
      <c r="C156" s="18" t="s">
        <v>287</v>
      </c>
    </row>
    <row r="157" spans="1:3">
      <c r="A157" s="17" t="s">
        <v>885</v>
      </c>
      <c r="B157" s="17" t="s">
        <v>886</v>
      </c>
      <c r="C157" s="18" t="s">
        <v>287</v>
      </c>
    </row>
    <row r="158" spans="1:3">
      <c r="A158" s="17" t="s">
        <v>1908</v>
      </c>
      <c r="B158" s="17" t="s">
        <v>1909</v>
      </c>
      <c r="C158" s="18" t="s">
        <v>287</v>
      </c>
    </row>
    <row r="159" spans="1:3">
      <c r="A159" s="17" t="s">
        <v>603</v>
      </c>
      <c r="B159" s="17" t="s">
        <v>604</v>
      </c>
      <c r="C159" s="18" t="s">
        <v>287</v>
      </c>
    </row>
    <row r="160" spans="1:3">
      <c r="A160" s="17" t="s">
        <v>855</v>
      </c>
      <c r="B160" s="17" t="s">
        <v>856</v>
      </c>
      <c r="C160" s="18" t="s">
        <v>287</v>
      </c>
    </row>
    <row r="161" spans="1:3">
      <c r="A161" s="17" t="s">
        <v>1882</v>
      </c>
      <c r="B161" s="17" t="s">
        <v>1883</v>
      </c>
      <c r="C161" s="18" t="s">
        <v>287</v>
      </c>
    </row>
    <row r="162" spans="1:3">
      <c r="A162" s="17" t="s">
        <v>577</v>
      </c>
      <c r="B162" s="17" t="s">
        <v>578</v>
      </c>
      <c r="C162" s="18" t="s">
        <v>574</v>
      </c>
    </row>
    <row r="163" spans="1:3">
      <c r="A163" s="17" t="s">
        <v>829</v>
      </c>
      <c r="B163" s="17" t="s">
        <v>830</v>
      </c>
      <c r="C163" s="18" t="s">
        <v>287</v>
      </c>
    </row>
    <row r="164" spans="1:3">
      <c r="A164" s="17" t="s">
        <v>1884</v>
      </c>
      <c r="B164" s="17" t="s">
        <v>1885</v>
      </c>
      <c r="C164" s="18" t="s">
        <v>287</v>
      </c>
    </row>
    <row r="165" spans="1:3">
      <c r="A165" s="17" t="s">
        <v>579</v>
      </c>
      <c r="B165" s="17" t="s">
        <v>580</v>
      </c>
      <c r="C165" s="18" t="s">
        <v>574</v>
      </c>
    </row>
    <row r="166" spans="1:3">
      <c r="A166" s="17" t="s">
        <v>831</v>
      </c>
      <c r="B166" s="17" t="s">
        <v>832</v>
      </c>
      <c r="C166" s="18" t="s">
        <v>287</v>
      </c>
    </row>
    <row r="167" spans="1:3">
      <c r="A167" s="17" t="s">
        <v>1910</v>
      </c>
      <c r="B167" s="17" t="s">
        <v>1911</v>
      </c>
      <c r="C167" s="18" t="s">
        <v>287</v>
      </c>
    </row>
    <row r="168" spans="1:3">
      <c r="A168" s="17" t="s">
        <v>605</v>
      </c>
      <c r="B168" s="17" t="s">
        <v>606</v>
      </c>
      <c r="C168" s="18" t="s">
        <v>287</v>
      </c>
    </row>
    <row r="169" spans="1:3">
      <c r="A169" s="17" t="s">
        <v>857</v>
      </c>
      <c r="B169" s="17" t="s">
        <v>858</v>
      </c>
      <c r="C169" s="18" t="s">
        <v>287</v>
      </c>
    </row>
    <row r="170" spans="1:3">
      <c r="A170" s="17" t="s">
        <v>1912</v>
      </c>
      <c r="B170" s="17" t="s">
        <v>1913</v>
      </c>
      <c r="C170" s="18" t="s">
        <v>287</v>
      </c>
    </row>
    <row r="171" spans="1:3">
      <c r="A171" s="17" t="s">
        <v>607</v>
      </c>
      <c r="B171" s="17" t="s">
        <v>608</v>
      </c>
      <c r="C171" s="18" t="s">
        <v>287</v>
      </c>
    </row>
    <row r="172" spans="1:3">
      <c r="A172" s="17" t="s">
        <v>859</v>
      </c>
      <c r="B172" s="17" t="s">
        <v>860</v>
      </c>
      <c r="C172" s="18" t="s">
        <v>287</v>
      </c>
    </row>
    <row r="173" spans="1:3">
      <c r="A173" s="17" t="s">
        <v>1914</v>
      </c>
      <c r="B173" s="17" t="s">
        <v>1915</v>
      </c>
      <c r="C173" s="18" t="s">
        <v>287</v>
      </c>
    </row>
    <row r="174" spans="1:3">
      <c r="A174" s="17" t="s">
        <v>609</v>
      </c>
      <c r="B174" s="17" t="s">
        <v>610</v>
      </c>
      <c r="C174" s="18" t="s">
        <v>287</v>
      </c>
    </row>
    <row r="175" spans="1:3">
      <c r="A175" s="17" t="s">
        <v>861</v>
      </c>
      <c r="B175" s="17" t="s">
        <v>862</v>
      </c>
      <c r="C175" s="18" t="s">
        <v>287</v>
      </c>
    </row>
    <row r="176" spans="1:3">
      <c r="A176" s="17" t="s">
        <v>1886</v>
      </c>
      <c r="B176" s="17" t="s">
        <v>1887</v>
      </c>
      <c r="C176" s="18" t="s">
        <v>287</v>
      </c>
    </row>
    <row r="177" spans="1:3">
      <c r="A177" s="17" t="s">
        <v>581</v>
      </c>
      <c r="B177" s="17" t="s">
        <v>582</v>
      </c>
      <c r="C177" s="18" t="s">
        <v>574</v>
      </c>
    </row>
    <row r="178" spans="1:3">
      <c r="A178" s="17" t="s">
        <v>833</v>
      </c>
      <c r="B178" s="17" t="s">
        <v>834</v>
      </c>
      <c r="C178" s="18" t="s">
        <v>287</v>
      </c>
    </row>
    <row r="179" spans="1:3">
      <c r="A179" s="17" t="s">
        <v>1916</v>
      </c>
      <c r="B179" s="17" t="s">
        <v>1917</v>
      </c>
      <c r="C179" s="18" t="s">
        <v>287</v>
      </c>
    </row>
    <row r="180" spans="1:3">
      <c r="A180" s="17" t="s">
        <v>611</v>
      </c>
      <c r="B180" s="17" t="s">
        <v>612</v>
      </c>
      <c r="C180" s="18" t="s">
        <v>287</v>
      </c>
    </row>
    <row r="181" spans="1:3">
      <c r="A181" s="17" t="s">
        <v>863</v>
      </c>
      <c r="B181" s="17" t="s">
        <v>864</v>
      </c>
      <c r="C181" s="18" t="s">
        <v>287</v>
      </c>
    </row>
    <row r="182" spans="1:3">
      <c r="A182" s="17" t="s">
        <v>1888</v>
      </c>
      <c r="B182" s="17" t="s">
        <v>1889</v>
      </c>
      <c r="C182" s="18" t="s">
        <v>287</v>
      </c>
    </row>
    <row r="183" spans="1:3">
      <c r="A183" s="17" t="s">
        <v>583</v>
      </c>
      <c r="B183" s="17" t="s">
        <v>584</v>
      </c>
      <c r="C183" s="18" t="s">
        <v>574</v>
      </c>
    </row>
    <row r="184" spans="1:3">
      <c r="A184" s="17" t="s">
        <v>835</v>
      </c>
      <c r="B184" s="17" t="s">
        <v>836</v>
      </c>
      <c r="C184" s="18" t="s">
        <v>287</v>
      </c>
    </row>
    <row r="185" spans="1:3">
      <c r="A185" s="17" t="s">
        <v>1918</v>
      </c>
      <c r="B185" s="17" t="s">
        <v>1919</v>
      </c>
      <c r="C185" s="18" t="s">
        <v>287</v>
      </c>
    </row>
    <row r="186" spans="1:3">
      <c r="A186" s="17" t="s">
        <v>613</v>
      </c>
      <c r="B186" s="17" t="s">
        <v>614</v>
      </c>
      <c r="C186" s="18" t="s">
        <v>287</v>
      </c>
    </row>
    <row r="187" spans="1:3">
      <c r="A187" s="17" t="s">
        <v>865</v>
      </c>
      <c r="B187" s="17" t="s">
        <v>866</v>
      </c>
      <c r="C187" s="18" t="s">
        <v>287</v>
      </c>
    </row>
    <row r="188" spans="1:3">
      <c r="A188" s="17" t="s">
        <v>1890</v>
      </c>
      <c r="B188" s="17" t="s">
        <v>1891</v>
      </c>
      <c r="C188" s="18" t="s">
        <v>287</v>
      </c>
    </row>
    <row r="189" spans="1:3">
      <c r="A189" s="17" t="s">
        <v>585</v>
      </c>
      <c r="B189" s="17" t="s">
        <v>586</v>
      </c>
      <c r="C189" s="18" t="s">
        <v>574</v>
      </c>
    </row>
    <row r="190" spans="1:3">
      <c r="A190" s="17" t="s">
        <v>837</v>
      </c>
      <c r="B190" s="17" t="s">
        <v>838</v>
      </c>
      <c r="C190" s="18" t="s">
        <v>287</v>
      </c>
    </row>
    <row r="191" spans="1:3">
      <c r="A191" s="17" t="s">
        <v>1904</v>
      </c>
      <c r="B191" s="17" t="s">
        <v>1905</v>
      </c>
      <c r="C191" s="18" t="s">
        <v>287</v>
      </c>
    </row>
    <row r="192" spans="1:3">
      <c r="A192" s="17" t="s">
        <v>599</v>
      </c>
      <c r="B192" s="17" t="s">
        <v>600</v>
      </c>
      <c r="C192" s="18" t="s">
        <v>574</v>
      </c>
    </row>
    <row r="193" spans="1:3">
      <c r="A193" s="17" t="s">
        <v>851</v>
      </c>
      <c r="B193" s="17" t="s">
        <v>852</v>
      </c>
      <c r="C193" s="18" t="s">
        <v>287</v>
      </c>
    </row>
    <row r="194" spans="1:3">
      <c r="A194" s="17" t="s">
        <v>1906</v>
      </c>
      <c r="B194" s="17" t="s">
        <v>1907</v>
      </c>
      <c r="C194" s="18" t="s">
        <v>287</v>
      </c>
    </row>
    <row r="195" spans="1:3">
      <c r="A195" s="17" t="s">
        <v>601</v>
      </c>
      <c r="B195" s="17" t="s">
        <v>602</v>
      </c>
      <c r="C195" s="18" t="s">
        <v>287</v>
      </c>
    </row>
    <row r="196" spans="1:3">
      <c r="A196" s="17" t="s">
        <v>853</v>
      </c>
      <c r="B196" s="17" t="s">
        <v>854</v>
      </c>
      <c r="C196" s="18" t="s">
        <v>287</v>
      </c>
    </row>
    <row r="197" spans="1:3">
      <c r="A197" s="17" t="s">
        <v>1920</v>
      </c>
      <c r="B197" s="17" t="s">
        <v>1921</v>
      </c>
      <c r="C197" s="18" t="s">
        <v>287</v>
      </c>
    </row>
    <row r="198" spans="1:3">
      <c r="A198" s="17" t="s">
        <v>615</v>
      </c>
      <c r="B198" s="17" t="s">
        <v>616</v>
      </c>
      <c r="C198" s="18" t="s">
        <v>287</v>
      </c>
    </row>
    <row r="199" spans="1:3">
      <c r="A199" s="17" t="s">
        <v>867</v>
      </c>
      <c r="B199" s="17" t="s">
        <v>868</v>
      </c>
      <c r="C199" s="18" t="s">
        <v>287</v>
      </c>
    </row>
    <row r="200" spans="1:3">
      <c r="A200" s="17" t="s">
        <v>1892</v>
      </c>
      <c r="B200" s="17" t="s">
        <v>1893</v>
      </c>
      <c r="C200" s="18" t="s">
        <v>287</v>
      </c>
    </row>
    <row r="201" spans="1:3">
      <c r="A201" s="17" t="s">
        <v>587</v>
      </c>
      <c r="B201" s="17" t="s">
        <v>588</v>
      </c>
      <c r="C201" s="18" t="s">
        <v>574</v>
      </c>
    </row>
    <row r="202" spans="1:3">
      <c r="A202" s="17" t="s">
        <v>839</v>
      </c>
      <c r="B202" s="17" t="s">
        <v>840</v>
      </c>
      <c r="C202" s="18" t="s">
        <v>287</v>
      </c>
    </row>
    <row r="203" spans="1:3">
      <c r="A203" s="17" t="s">
        <v>1922</v>
      </c>
      <c r="B203" s="17" t="s">
        <v>1923</v>
      </c>
      <c r="C203" s="18" t="s">
        <v>287</v>
      </c>
    </row>
    <row r="204" spans="1:3">
      <c r="A204" s="17" t="s">
        <v>617</v>
      </c>
      <c r="B204" s="17" t="s">
        <v>618</v>
      </c>
      <c r="C204" s="18" t="s">
        <v>287</v>
      </c>
    </row>
    <row r="205" spans="1:3">
      <c r="A205" s="17" t="s">
        <v>869</v>
      </c>
      <c r="B205" s="17" t="s">
        <v>870</v>
      </c>
      <c r="C205" s="18" t="s">
        <v>287</v>
      </c>
    </row>
    <row r="206" spans="1:3">
      <c r="A206" s="17" t="s">
        <v>1924</v>
      </c>
      <c r="B206" s="17" t="s">
        <v>1925</v>
      </c>
      <c r="C206" s="18" t="s">
        <v>287</v>
      </c>
    </row>
    <row r="207" spans="1:3">
      <c r="A207" s="17" t="s">
        <v>619</v>
      </c>
      <c r="B207" s="17" t="s">
        <v>620</v>
      </c>
      <c r="C207" s="18" t="s">
        <v>287</v>
      </c>
    </row>
    <row r="208" spans="1:3">
      <c r="A208" s="17" t="s">
        <v>871</v>
      </c>
      <c r="B208" s="17" t="s">
        <v>872</v>
      </c>
      <c r="C208" s="18" t="s">
        <v>287</v>
      </c>
    </row>
    <row r="209" spans="1:3">
      <c r="A209" s="17" t="s">
        <v>1894</v>
      </c>
      <c r="B209" s="17" t="s">
        <v>1895</v>
      </c>
      <c r="C209" s="18" t="s">
        <v>287</v>
      </c>
    </row>
    <row r="210" spans="1:3">
      <c r="A210" s="17" t="s">
        <v>589</v>
      </c>
      <c r="B210" s="17" t="s">
        <v>590</v>
      </c>
      <c r="C210" s="18" t="s">
        <v>574</v>
      </c>
    </row>
    <row r="211" spans="1:3">
      <c r="A211" s="17" t="s">
        <v>841</v>
      </c>
      <c r="B211" s="17" t="s">
        <v>842</v>
      </c>
      <c r="C211" s="18" t="s">
        <v>287</v>
      </c>
    </row>
    <row r="212" spans="1:3">
      <c r="A212" s="17" t="s">
        <v>1926</v>
      </c>
      <c r="B212" s="17" t="s">
        <v>1927</v>
      </c>
      <c r="C212" s="18" t="s">
        <v>287</v>
      </c>
    </row>
    <row r="213" spans="1:3">
      <c r="A213" s="17" t="s">
        <v>621</v>
      </c>
      <c r="B213" s="17" t="s">
        <v>622</v>
      </c>
      <c r="C213" s="18" t="s">
        <v>287</v>
      </c>
    </row>
    <row r="214" spans="1:3">
      <c r="A214" s="17" t="s">
        <v>873</v>
      </c>
      <c r="B214" s="17" t="s">
        <v>874</v>
      </c>
      <c r="C214" s="18" t="s">
        <v>287</v>
      </c>
    </row>
    <row r="215" spans="1:3">
      <c r="A215" s="17" t="s">
        <v>1896</v>
      </c>
      <c r="B215" s="17" t="s">
        <v>1897</v>
      </c>
      <c r="C215" s="18" t="s">
        <v>287</v>
      </c>
    </row>
    <row r="216" spans="1:3">
      <c r="A216" s="17" t="s">
        <v>591</v>
      </c>
      <c r="B216" s="17" t="s">
        <v>592</v>
      </c>
      <c r="C216" s="18" t="s">
        <v>574</v>
      </c>
    </row>
    <row r="217" spans="1:3">
      <c r="A217" s="17" t="s">
        <v>843</v>
      </c>
      <c r="B217" s="17" t="s">
        <v>844</v>
      </c>
      <c r="C217" s="18" t="s">
        <v>287</v>
      </c>
    </row>
    <row r="218" spans="1:3">
      <c r="A218" s="17" t="s">
        <v>1930</v>
      </c>
      <c r="B218" s="17" t="s">
        <v>1931</v>
      </c>
      <c r="C218" s="18" t="s">
        <v>287</v>
      </c>
    </row>
    <row r="219" spans="1:3">
      <c r="A219" s="17" t="s">
        <v>625</v>
      </c>
      <c r="B219" s="17" t="s">
        <v>626</v>
      </c>
      <c r="C219" s="18" t="s">
        <v>287</v>
      </c>
    </row>
    <row r="220" spans="1:3">
      <c r="A220" s="17" t="s">
        <v>877</v>
      </c>
      <c r="B220" s="17" t="s">
        <v>878</v>
      </c>
      <c r="C220" s="18" t="s">
        <v>287</v>
      </c>
    </row>
    <row r="221" spans="1:3">
      <c r="A221" s="17" t="s">
        <v>1900</v>
      </c>
      <c r="B221" s="17" t="s">
        <v>1901</v>
      </c>
      <c r="C221" s="18" t="s">
        <v>287</v>
      </c>
    </row>
    <row r="222" spans="1:3">
      <c r="A222" s="17" t="s">
        <v>595</v>
      </c>
      <c r="B222" s="17" t="s">
        <v>596</v>
      </c>
      <c r="C222" s="18" t="s">
        <v>574</v>
      </c>
    </row>
    <row r="223" spans="1:3">
      <c r="A223" s="17" t="s">
        <v>847</v>
      </c>
      <c r="B223" s="17" t="s">
        <v>848</v>
      </c>
      <c r="C223" s="18" t="s">
        <v>287</v>
      </c>
    </row>
    <row r="224" spans="1:3">
      <c r="A224" s="17" t="s">
        <v>145</v>
      </c>
      <c r="B224" s="17" t="s">
        <v>1934</v>
      </c>
      <c r="C224" s="18" t="s">
        <v>287</v>
      </c>
    </row>
    <row r="225" spans="1:3">
      <c r="A225" s="17" t="s">
        <v>629</v>
      </c>
      <c r="B225" s="17" t="s">
        <v>630</v>
      </c>
      <c r="C225" s="18" t="s">
        <v>287</v>
      </c>
    </row>
    <row r="226" spans="1:3">
      <c r="A226" s="17" t="s">
        <v>881</v>
      </c>
      <c r="B226" s="17" t="s">
        <v>882</v>
      </c>
      <c r="C226" s="18" t="s">
        <v>287</v>
      </c>
    </row>
    <row r="227" spans="1:3">
      <c r="A227" s="17" t="s">
        <v>1898</v>
      </c>
      <c r="B227" s="17" t="s">
        <v>1899</v>
      </c>
      <c r="C227" s="18" t="s">
        <v>287</v>
      </c>
    </row>
    <row r="228" spans="1:3">
      <c r="A228" s="17" t="s">
        <v>593</v>
      </c>
      <c r="B228" s="17" t="s">
        <v>594</v>
      </c>
      <c r="C228" s="18" t="s">
        <v>574</v>
      </c>
    </row>
    <row r="229" spans="1:3">
      <c r="A229" s="17" t="s">
        <v>845</v>
      </c>
      <c r="B229" s="17" t="s">
        <v>846</v>
      </c>
      <c r="C229" s="18" t="s">
        <v>287</v>
      </c>
    </row>
    <row r="230" spans="1:3">
      <c r="A230" s="17" t="s">
        <v>1932</v>
      </c>
      <c r="B230" s="17" t="s">
        <v>1933</v>
      </c>
      <c r="C230" s="18" t="s">
        <v>287</v>
      </c>
    </row>
    <row r="231" spans="1:3">
      <c r="A231" s="17" t="s">
        <v>627</v>
      </c>
      <c r="B231" s="17" t="s">
        <v>628</v>
      </c>
      <c r="C231" s="18" t="s">
        <v>287</v>
      </c>
    </row>
    <row r="232" spans="1:3">
      <c r="A232" s="17" t="s">
        <v>879</v>
      </c>
      <c r="B232" s="17" t="s">
        <v>880</v>
      </c>
      <c r="C232" s="18" t="s">
        <v>287</v>
      </c>
    </row>
    <row r="233" spans="1:3">
      <c r="A233" s="17" t="s">
        <v>1902</v>
      </c>
      <c r="B233" s="17" t="s">
        <v>1903</v>
      </c>
      <c r="C233" s="18" t="s">
        <v>287</v>
      </c>
    </row>
    <row r="234" spans="1:3">
      <c r="A234" s="17" t="s">
        <v>597</v>
      </c>
      <c r="B234" s="17" t="s">
        <v>598</v>
      </c>
      <c r="C234" s="18" t="s">
        <v>574</v>
      </c>
    </row>
    <row r="235" spans="1:3">
      <c r="A235" s="17" t="s">
        <v>849</v>
      </c>
      <c r="B235" s="17" t="s">
        <v>850</v>
      </c>
      <c r="C235" s="18" t="s">
        <v>287</v>
      </c>
    </row>
    <row r="236" spans="1:3">
      <c r="A236" s="17" t="s">
        <v>1928</v>
      </c>
      <c r="B236" s="17" t="s">
        <v>1929</v>
      </c>
      <c r="C236" s="18" t="s">
        <v>287</v>
      </c>
    </row>
    <row r="237" spans="1:3">
      <c r="A237" s="17" t="s">
        <v>623</v>
      </c>
      <c r="B237" s="17" t="s">
        <v>624</v>
      </c>
      <c r="C237" s="18" t="s">
        <v>287</v>
      </c>
    </row>
    <row r="238" spans="1:3">
      <c r="A238" s="17" t="s">
        <v>875</v>
      </c>
      <c r="B238" s="17" t="s">
        <v>876</v>
      </c>
      <c r="C238" s="18" t="s">
        <v>287</v>
      </c>
    </row>
    <row r="239" spans="1:3">
      <c r="A239" s="17" t="s">
        <v>14</v>
      </c>
      <c r="B239" s="17" t="s">
        <v>1939</v>
      </c>
      <c r="C239" s="18" t="s">
        <v>287</v>
      </c>
    </row>
    <row r="240" spans="1:3">
      <c r="A240" s="17" t="s">
        <v>639</v>
      </c>
      <c r="B240" s="17" t="s">
        <v>640</v>
      </c>
      <c r="C240" s="18" t="s">
        <v>287</v>
      </c>
    </row>
    <row r="241" spans="1:3">
      <c r="A241" s="17" t="s">
        <v>891</v>
      </c>
      <c r="B241" s="17" t="s">
        <v>892</v>
      </c>
      <c r="C241" s="18" t="s">
        <v>287</v>
      </c>
    </row>
    <row r="242" spans="1:3">
      <c r="A242" s="17" t="s">
        <v>1866</v>
      </c>
      <c r="B242" s="17" t="s">
        <v>1867</v>
      </c>
      <c r="C242" s="18" t="s">
        <v>287</v>
      </c>
    </row>
    <row r="243" spans="1:3">
      <c r="A243" s="17" t="s">
        <v>560</v>
      </c>
      <c r="B243" s="17" t="s">
        <v>561</v>
      </c>
      <c r="C243" s="18" t="s">
        <v>446</v>
      </c>
    </row>
    <row r="244" spans="1:3">
      <c r="A244" s="17" t="s">
        <v>813</v>
      </c>
      <c r="B244" s="17" t="s">
        <v>814</v>
      </c>
      <c r="C244" s="18" t="s">
        <v>287</v>
      </c>
    </row>
    <row r="245" spans="1:3">
      <c r="A245" s="17" t="s">
        <v>1868</v>
      </c>
      <c r="B245" s="17" t="s">
        <v>1869</v>
      </c>
      <c r="C245" s="18" t="s">
        <v>287</v>
      </c>
    </row>
    <row r="246" spans="1:3">
      <c r="A246" s="17" t="s">
        <v>562</v>
      </c>
      <c r="B246" s="17" t="s">
        <v>563</v>
      </c>
      <c r="C246" s="18" t="s">
        <v>446</v>
      </c>
    </row>
    <row r="247" spans="1:3">
      <c r="A247" s="17" t="s">
        <v>815</v>
      </c>
      <c r="B247" s="17" t="s">
        <v>816</v>
      </c>
      <c r="C247" s="18" t="s">
        <v>287</v>
      </c>
    </row>
    <row r="248" spans="1:3">
      <c r="A248" s="17" t="s">
        <v>1870</v>
      </c>
      <c r="B248" s="17" t="s">
        <v>1871</v>
      </c>
      <c r="C248" s="18" t="s">
        <v>287</v>
      </c>
    </row>
    <row r="249" spans="1:3">
      <c r="A249" s="17" t="s">
        <v>564</v>
      </c>
      <c r="B249" s="17" t="s">
        <v>565</v>
      </c>
      <c r="C249" s="18" t="s">
        <v>446</v>
      </c>
    </row>
    <row r="250" spans="1:3">
      <c r="A250" s="17" t="s">
        <v>817</v>
      </c>
      <c r="B250" s="17" t="s">
        <v>818</v>
      </c>
      <c r="C250" s="18" t="s">
        <v>287</v>
      </c>
    </row>
    <row r="251" spans="1:3">
      <c r="A251" s="17" t="s">
        <v>1864</v>
      </c>
      <c r="B251" s="17" t="s">
        <v>1865</v>
      </c>
      <c r="C251" s="18" t="s">
        <v>287</v>
      </c>
    </row>
    <row r="252" spans="1:3">
      <c r="A252" s="17" t="s">
        <v>558</v>
      </c>
      <c r="B252" s="17" t="s">
        <v>559</v>
      </c>
      <c r="C252" s="18" t="s">
        <v>446</v>
      </c>
    </row>
    <row r="253" spans="1:3">
      <c r="A253" s="17" t="s">
        <v>811</v>
      </c>
      <c r="B253" s="17" t="s">
        <v>812</v>
      </c>
      <c r="C253" s="18" t="s">
        <v>287</v>
      </c>
    </row>
    <row r="254" spans="1:3">
      <c r="A254" s="17" t="s">
        <v>1872</v>
      </c>
      <c r="B254" s="17" t="s">
        <v>1873</v>
      </c>
      <c r="C254" s="18" t="s">
        <v>287</v>
      </c>
    </row>
    <row r="255" spans="1:3">
      <c r="A255" s="17" t="s">
        <v>566</v>
      </c>
      <c r="B255" s="17" t="s">
        <v>567</v>
      </c>
      <c r="C255" s="18" t="s">
        <v>446</v>
      </c>
    </row>
    <row r="256" spans="1:3">
      <c r="A256" s="17" t="s">
        <v>819</v>
      </c>
      <c r="B256" s="17" t="s">
        <v>820</v>
      </c>
      <c r="C256" s="18" t="s">
        <v>287</v>
      </c>
    </row>
    <row r="257" spans="1:3">
      <c r="A257" s="17" t="s">
        <v>1880</v>
      </c>
      <c r="B257" s="17" t="s">
        <v>1881</v>
      </c>
      <c r="C257" s="18" t="s">
        <v>287</v>
      </c>
    </row>
    <row r="258" spans="1:3">
      <c r="A258" s="17" t="s">
        <v>575</v>
      </c>
      <c r="B258" s="17" t="s">
        <v>576</v>
      </c>
      <c r="C258" s="18" t="s">
        <v>574</v>
      </c>
    </row>
    <row r="259" spans="1:3">
      <c r="A259" s="17" t="s">
        <v>827</v>
      </c>
      <c r="B259" s="17" t="s">
        <v>828</v>
      </c>
      <c r="C259" s="18" t="s">
        <v>287</v>
      </c>
    </row>
    <row r="260" spans="1:3">
      <c r="A260" s="17" t="s">
        <v>1874</v>
      </c>
      <c r="B260" s="17" t="s">
        <v>1875</v>
      </c>
      <c r="C260" s="18" t="s">
        <v>287</v>
      </c>
    </row>
    <row r="261" spans="1:3">
      <c r="A261" s="17" t="s">
        <v>568</v>
      </c>
      <c r="B261" s="17" t="s">
        <v>569</v>
      </c>
      <c r="C261" s="18" t="s">
        <v>446</v>
      </c>
    </row>
    <row r="262" spans="1:3">
      <c r="A262" s="17" t="s">
        <v>821</v>
      </c>
      <c r="B262" s="17" t="s">
        <v>822</v>
      </c>
      <c r="C262" s="18" t="s">
        <v>287</v>
      </c>
    </row>
    <row r="263" spans="1:3">
      <c r="A263" s="17" t="s">
        <v>1876</v>
      </c>
      <c r="B263" s="17" t="s">
        <v>1877</v>
      </c>
      <c r="C263" s="18" t="s">
        <v>287</v>
      </c>
    </row>
    <row r="264" spans="1:3">
      <c r="A264" s="17" t="s">
        <v>570</v>
      </c>
      <c r="B264" s="17" t="s">
        <v>571</v>
      </c>
      <c r="C264" s="18" t="s">
        <v>446</v>
      </c>
    </row>
    <row r="265" spans="1:3">
      <c r="A265" s="17" t="s">
        <v>823</v>
      </c>
      <c r="B265" s="17" t="s">
        <v>824</v>
      </c>
      <c r="C265" s="18" t="s">
        <v>287</v>
      </c>
    </row>
    <row r="266" spans="1:3">
      <c r="A266" s="17" t="s">
        <v>1878</v>
      </c>
      <c r="B266" s="17" t="s">
        <v>1879</v>
      </c>
      <c r="C266" s="18" t="s">
        <v>287</v>
      </c>
    </row>
    <row r="267" spans="1:3">
      <c r="A267" s="17" t="s">
        <v>572</v>
      </c>
      <c r="B267" s="17" t="s">
        <v>573</v>
      </c>
      <c r="C267" s="18" t="s">
        <v>574</v>
      </c>
    </row>
    <row r="268" spans="1:3">
      <c r="A268" s="17" t="s">
        <v>825</v>
      </c>
      <c r="B268" s="17" t="s">
        <v>826</v>
      </c>
      <c r="C268" s="18" t="s">
        <v>287</v>
      </c>
    </row>
    <row r="269" spans="1:3">
      <c r="A269" s="17" t="s">
        <v>2118</v>
      </c>
      <c r="B269" s="17" t="s">
        <v>2119</v>
      </c>
      <c r="C269" s="18" t="s">
        <v>287</v>
      </c>
    </row>
    <row r="270" spans="1:3">
      <c r="A270" s="17" t="s">
        <v>2032</v>
      </c>
      <c r="B270" s="17" t="s">
        <v>2033</v>
      </c>
      <c r="C270" s="18" t="s">
        <v>287</v>
      </c>
    </row>
    <row r="271" spans="1:3">
      <c r="A271" s="17" t="s">
        <v>1005</v>
      </c>
      <c r="B271" s="17" t="s">
        <v>1006</v>
      </c>
      <c r="C271" s="18" t="s">
        <v>287</v>
      </c>
    </row>
    <row r="272" spans="1:3">
      <c r="A272" s="17" t="s">
        <v>753</v>
      </c>
      <c r="B272" s="17" t="s">
        <v>754</v>
      </c>
      <c r="C272" s="18" t="s">
        <v>287</v>
      </c>
    </row>
    <row r="273" spans="1:3">
      <c r="A273" s="17" t="s">
        <v>2058</v>
      </c>
      <c r="B273" s="17" t="s">
        <v>2059</v>
      </c>
      <c r="C273" s="18" t="s">
        <v>287</v>
      </c>
    </row>
    <row r="274" spans="1:3">
      <c r="A274" s="17" t="s">
        <v>779</v>
      </c>
      <c r="B274" s="17" t="s">
        <v>780</v>
      </c>
      <c r="C274" s="18" t="s">
        <v>287</v>
      </c>
    </row>
    <row r="275" spans="1:3">
      <c r="A275" s="17" t="s">
        <v>1031</v>
      </c>
      <c r="B275" s="17" t="s">
        <v>1032</v>
      </c>
      <c r="C275" s="18" t="s">
        <v>287</v>
      </c>
    </row>
    <row r="276" spans="1:3">
      <c r="A276" s="17" t="s">
        <v>2046</v>
      </c>
      <c r="B276" s="17" t="s">
        <v>2047</v>
      </c>
      <c r="C276" s="18" t="s">
        <v>287</v>
      </c>
    </row>
    <row r="277" spans="1:3">
      <c r="A277" s="17" t="s">
        <v>767</v>
      </c>
      <c r="B277" s="17" t="s">
        <v>768</v>
      </c>
      <c r="C277" s="18" t="s">
        <v>287</v>
      </c>
    </row>
    <row r="278" spans="1:3">
      <c r="A278" s="17" t="s">
        <v>1019</v>
      </c>
      <c r="B278" s="17" t="s">
        <v>1020</v>
      </c>
      <c r="C278" s="18" t="s">
        <v>287</v>
      </c>
    </row>
    <row r="279" spans="1:3">
      <c r="A279" s="17" t="s">
        <v>2060</v>
      </c>
      <c r="B279" s="17" t="s">
        <v>2061</v>
      </c>
      <c r="C279" s="18" t="s">
        <v>287</v>
      </c>
    </row>
    <row r="280" spans="1:3">
      <c r="A280" s="17" t="s">
        <v>781</v>
      </c>
      <c r="B280" s="17" t="s">
        <v>782</v>
      </c>
      <c r="C280" s="18" t="s">
        <v>287</v>
      </c>
    </row>
    <row r="281" spans="1:3">
      <c r="A281" s="17" t="s">
        <v>1033</v>
      </c>
      <c r="B281" s="17" t="s">
        <v>1034</v>
      </c>
      <c r="C281" s="18" t="s">
        <v>287</v>
      </c>
    </row>
    <row r="282" spans="1:3">
      <c r="A282" s="17" t="s">
        <v>2050</v>
      </c>
      <c r="B282" s="17" t="s">
        <v>2051</v>
      </c>
      <c r="C282" s="18" t="s">
        <v>287</v>
      </c>
    </row>
    <row r="283" spans="1:3">
      <c r="A283" s="17" t="s">
        <v>771</v>
      </c>
      <c r="B283" s="17" t="s">
        <v>772</v>
      </c>
      <c r="C283" s="18" t="s">
        <v>287</v>
      </c>
    </row>
    <row r="284" spans="1:3">
      <c r="A284" s="17" t="s">
        <v>1023</v>
      </c>
      <c r="B284" s="17" t="s">
        <v>1024</v>
      </c>
      <c r="C284" s="18" t="s">
        <v>287</v>
      </c>
    </row>
    <row r="285" spans="1:3">
      <c r="A285" s="17" t="s">
        <v>2036</v>
      </c>
      <c r="B285" s="17" t="s">
        <v>2037</v>
      </c>
      <c r="C285" s="18" t="s">
        <v>287</v>
      </c>
    </row>
    <row r="286" spans="1:3">
      <c r="A286" s="17" t="s">
        <v>757</v>
      </c>
      <c r="B286" s="17" t="s">
        <v>758</v>
      </c>
      <c r="C286" s="18" t="s">
        <v>287</v>
      </c>
    </row>
    <row r="287" spans="1:3">
      <c r="A287" s="17" t="s">
        <v>1009</v>
      </c>
      <c r="B287" s="17" t="s">
        <v>1010</v>
      </c>
      <c r="C287" s="18" t="s">
        <v>287</v>
      </c>
    </row>
    <row r="288" spans="1:3">
      <c r="A288" s="17" t="s">
        <v>2070</v>
      </c>
      <c r="B288" s="17" t="s">
        <v>2071</v>
      </c>
      <c r="C288" s="18" t="s">
        <v>287</v>
      </c>
    </row>
    <row r="289" spans="1:3">
      <c r="A289" s="17" t="s">
        <v>791</v>
      </c>
      <c r="B289" s="17" t="s">
        <v>792</v>
      </c>
      <c r="C289" s="18" t="s">
        <v>287</v>
      </c>
    </row>
    <row r="290" spans="1:3">
      <c r="A290" s="17" t="s">
        <v>1043</v>
      </c>
      <c r="B290" s="17" t="s">
        <v>1044</v>
      </c>
      <c r="C290" s="18" t="s">
        <v>287</v>
      </c>
    </row>
    <row r="291" spans="1:3">
      <c r="A291" s="17" t="s">
        <v>2072</v>
      </c>
      <c r="B291" s="17" t="s">
        <v>2073</v>
      </c>
      <c r="C291" s="18" t="s">
        <v>287</v>
      </c>
    </row>
    <row r="292" spans="1:3">
      <c r="A292" s="17" t="s">
        <v>793</v>
      </c>
      <c r="B292" s="17" t="s">
        <v>794</v>
      </c>
      <c r="C292" s="18" t="s">
        <v>287</v>
      </c>
    </row>
    <row r="293" spans="1:3">
      <c r="A293" s="17" t="s">
        <v>1045</v>
      </c>
      <c r="B293" s="17" t="s">
        <v>1046</v>
      </c>
      <c r="C293" s="18" t="s">
        <v>287</v>
      </c>
    </row>
    <row r="294" spans="1:3">
      <c r="A294" s="17" t="s">
        <v>2044</v>
      </c>
      <c r="B294" s="17" t="s">
        <v>2045</v>
      </c>
      <c r="C294" s="18" t="s">
        <v>287</v>
      </c>
    </row>
    <row r="295" spans="1:3">
      <c r="A295" s="17" t="s">
        <v>765</v>
      </c>
      <c r="B295" s="17" t="s">
        <v>766</v>
      </c>
      <c r="C295" s="18" t="s">
        <v>287</v>
      </c>
    </row>
    <row r="296" spans="1:3">
      <c r="A296" s="17" t="s">
        <v>1017</v>
      </c>
      <c r="B296" s="17" t="s">
        <v>1018</v>
      </c>
      <c r="C296" s="18" t="s">
        <v>287</v>
      </c>
    </row>
    <row r="297" spans="1:3">
      <c r="A297" s="17" t="s">
        <v>2048</v>
      </c>
      <c r="B297" s="17" t="s">
        <v>2049</v>
      </c>
      <c r="C297" s="18" t="s">
        <v>287</v>
      </c>
    </row>
    <row r="298" spans="1:3">
      <c r="A298" s="17" t="s">
        <v>769</v>
      </c>
      <c r="B298" s="17" t="s">
        <v>770</v>
      </c>
      <c r="C298" s="18" t="s">
        <v>287</v>
      </c>
    </row>
    <row r="299" spans="1:3">
      <c r="A299" s="17" t="s">
        <v>1021</v>
      </c>
      <c r="B299" s="17" t="s">
        <v>1022</v>
      </c>
      <c r="C299" s="18" t="s">
        <v>287</v>
      </c>
    </row>
    <row r="300" spans="1:3">
      <c r="A300" s="17" t="s">
        <v>2034</v>
      </c>
      <c r="B300" s="17" t="s">
        <v>2035</v>
      </c>
      <c r="C300" s="18" t="s">
        <v>287</v>
      </c>
    </row>
    <row r="301" spans="1:3">
      <c r="A301" s="17" t="s">
        <v>755</v>
      </c>
      <c r="B301" s="17" t="s">
        <v>756</v>
      </c>
      <c r="C301" s="18" t="s">
        <v>287</v>
      </c>
    </row>
    <row r="302" spans="1:3">
      <c r="A302" s="17" t="s">
        <v>1007</v>
      </c>
      <c r="B302" s="17" t="s">
        <v>1008</v>
      </c>
      <c r="C302" s="18" t="s">
        <v>287</v>
      </c>
    </row>
    <row r="303" spans="1:3">
      <c r="A303" s="17" t="s">
        <v>2062</v>
      </c>
      <c r="B303" s="17" t="s">
        <v>2063</v>
      </c>
      <c r="C303" s="18" t="s">
        <v>287</v>
      </c>
    </row>
    <row r="304" spans="1:3">
      <c r="A304" s="17" t="s">
        <v>783</v>
      </c>
      <c r="B304" s="17" t="s">
        <v>784</v>
      </c>
      <c r="C304" s="18" t="s">
        <v>287</v>
      </c>
    </row>
    <row r="305" spans="1:3">
      <c r="A305" s="17" t="s">
        <v>1035</v>
      </c>
      <c r="B305" s="17" t="s">
        <v>1036</v>
      </c>
      <c r="C305" s="18" t="s">
        <v>287</v>
      </c>
    </row>
    <row r="306" spans="1:3">
      <c r="A306" s="17" t="s">
        <v>2052</v>
      </c>
      <c r="B306" s="17" t="s">
        <v>2053</v>
      </c>
      <c r="C306" s="18" t="s">
        <v>287</v>
      </c>
    </row>
    <row r="307" spans="1:3">
      <c r="A307" s="17" t="s">
        <v>773</v>
      </c>
      <c r="B307" s="17" t="s">
        <v>774</v>
      </c>
      <c r="C307" s="18" t="s">
        <v>287</v>
      </c>
    </row>
    <row r="308" spans="1:3">
      <c r="A308" s="17" t="s">
        <v>1025</v>
      </c>
      <c r="B308" s="17" t="s">
        <v>1026</v>
      </c>
      <c r="C308" s="18" t="s">
        <v>287</v>
      </c>
    </row>
    <row r="309" spans="1:3">
      <c r="A309" s="17" t="s">
        <v>2038</v>
      </c>
      <c r="B309" s="17" t="s">
        <v>2039</v>
      </c>
      <c r="C309" s="18" t="s">
        <v>287</v>
      </c>
    </row>
    <row r="310" spans="1:3">
      <c r="A310" s="17" t="s">
        <v>759</v>
      </c>
      <c r="B310" s="17" t="s">
        <v>760</v>
      </c>
      <c r="C310" s="18" t="s">
        <v>287</v>
      </c>
    </row>
    <row r="311" spans="1:3">
      <c r="A311" s="17" t="s">
        <v>1011</v>
      </c>
      <c r="B311" s="17" t="s">
        <v>1012</v>
      </c>
      <c r="C311" s="18" t="s">
        <v>287</v>
      </c>
    </row>
    <row r="312" spans="1:3">
      <c r="A312" s="17" t="s">
        <v>2064</v>
      </c>
      <c r="B312" s="17" t="s">
        <v>2065</v>
      </c>
      <c r="C312" s="18" t="s">
        <v>287</v>
      </c>
    </row>
    <row r="313" spans="1:3">
      <c r="A313" s="17" t="s">
        <v>785</v>
      </c>
      <c r="B313" s="17" t="s">
        <v>786</v>
      </c>
      <c r="C313" s="18" t="s">
        <v>287</v>
      </c>
    </row>
    <row r="314" spans="1:3">
      <c r="A314" s="17" t="s">
        <v>1037</v>
      </c>
      <c r="B314" s="17" t="s">
        <v>1038</v>
      </c>
      <c r="C314" s="18" t="s">
        <v>287</v>
      </c>
    </row>
    <row r="315" spans="1:3">
      <c r="A315" s="17" t="s">
        <v>2054</v>
      </c>
      <c r="B315" s="17" t="s">
        <v>2055</v>
      </c>
      <c r="C315" s="18" t="s">
        <v>287</v>
      </c>
    </row>
    <row r="316" spans="1:3">
      <c r="A316" s="17" t="s">
        <v>775</v>
      </c>
      <c r="B316" s="17" t="s">
        <v>776</v>
      </c>
      <c r="C316" s="18" t="s">
        <v>287</v>
      </c>
    </row>
    <row r="317" spans="1:3">
      <c r="A317" s="17" t="s">
        <v>1027</v>
      </c>
      <c r="B317" s="17" t="s">
        <v>1028</v>
      </c>
      <c r="C317" s="18" t="s">
        <v>287</v>
      </c>
    </row>
    <row r="318" spans="1:3">
      <c r="A318" s="17" t="s">
        <v>2066</v>
      </c>
      <c r="B318" s="17" t="s">
        <v>2067</v>
      </c>
      <c r="C318" s="18" t="s">
        <v>287</v>
      </c>
    </row>
    <row r="319" spans="1:3">
      <c r="A319" s="17" t="s">
        <v>787</v>
      </c>
      <c r="B319" s="17" t="s">
        <v>788</v>
      </c>
      <c r="C319" s="18" t="s">
        <v>287</v>
      </c>
    </row>
    <row r="320" spans="1:3">
      <c r="A320" s="17" t="s">
        <v>1039</v>
      </c>
      <c r="B320" s="17" t="s">
        <v>1040</v>
      </c>
      <c r="C320" s="18" t="s">
        <v>287</v>
      </c>
    </row>
    <row r="321" spans="1:3">
      <c r="A321" s="17" t="s">
        <v>2040</v>
      </c>
      <c r="B321" s="17" t="s">
        <v>2041</v>
      </c>
      <c r="C321" s="18" t="s">
        <v>287</v>
      </c>
    </row>
    <row r="322" spans="1:3">
      <c r="A322" s="17" t="s">
        <v>761</v>
      </c>
      <c r="B322" s="17" t="s">
        <v>762</v>
      </c>
      <c r="C322" s="18" t="s">
        <v>287</v>
      </c>
    </row>
    <row r="323" spans="1:3">
      <c r="A323" s="17" t="s">
        <v>1013</v>
      </c>
      <c r="B323" s="17" t="s">
        <v>1014</v>
      </c>
      <c r="C323" s="18" t="s">
        <v>287</v>
      </c>
    </row>
    <row r="324" spans="1:3">
      <c r="A324" s="17" t="s">
        <v>2056</v>
      </c>
      <c r="B324" s="17" t="s">
        <v>2057</v>
      </c>
      <c r="C324" s="18" t="s">
        <v>287</v>
      </c>
    </row>
    <row r="325" spans="1:3">
      <c r="A325" s="17" t="s">
        <v>777</v>
      </c>
      <c r="B325" s="17" t="s">
        <v>778</v>
      </c>
      <c r="C325" s="18" t="s">
        <v>287</v>
      </c>
    </row>
    <row r="326" spans="1:3">
      <c r="A326" s="17" t="s">
        <v>1029</v>
      </c>
      <c r="B326" s="17" t="s">
        <v>1030</v>
      </c>
      <c r="C326" s="18" t="s">
        <v>287</v>
      </c>
    </row>
    <row r="327" spans="1:3">
      <c r="A327" s="17" t="s">
        <v>2068</v>
      </c>
      <c r="B327" s="17" t="s">
        <v>2069</v>
      </c>
      <c r="C327" s="18" t="s">
        <v>287</v>
      </c>
    </row>
    <row r="328" spans="1:3">
      <c r="A328" s="17" t="s">
        <v>789</v>
      </c>
      <c r="B328" s="17" t="s">
        <v>790</v>
      </c>
      <c r="C328" s="18" t="s">
        <v>287</v>
      </c>
    </row>
    <row r="329" spans="1:3">
      <c r="A329" s="17" t="s">
        <v>1041</v>
      </c>
      <c r="B329" s="17" t="s">
        <v>1042</v>
      </c>
      <c r="C329" s="18" t="s">
        <v>287</v>
      </c>
    </row>
    <row r="330" spans="1:3">
      <c r="A330" s="17" t="s">
        <v>2042</v>
      </c>
      <c r="B330" s="17" t="s">
        <v>2043</v>
      </c>
      <c r="C330" s="18" t="s">
        <v>287</v>
      </c>
    </row>
    <row r="331" spans="1:3">
      <c r="A331" s="17" t="s">
        <v>763</v>
      </c>
      <c r="B331" s="17" t="s">
        <v>764</v>
      </c>
      <c r="C331" s="18" t="s">
        <v>287</v>
      </c>
    </row>
    <row r="332" spans="1:3">
      <c r="A332" s="17" t="s">
        <v>1015</v>
      </c>
      <c r="B332" s="17" t="s">
        <v>1016</v>
      </c>
      <c r="C332" s="18" t="s">
        <v>287</v>
      </c>
    </row>
    <row r="333" spans="1:3">
      <c r="A333" s="17" t="s">
        <v>2120</v>
      </c>
      <c r="B333" s="17" t="s">
        <v>2121</v>
      </c>
      <c r="C333" s="18" t="s">
        <v>287</v>
      </c>
    </row>
    <row r="334" spans="1:3">
      <c r="A334" s="17" t="s">
        <v>2110</v>
      </c>
      <c r="B334" s="17" t="s">
        <v>2111</v>
      </c>
      <c r="C334" s="18" t="s">
        <v>287</v>
      </c>
    </row>
    <row r="335" spans="1:3">
      <c r="A335" s="17" t="s">
        <v>2112</v>
      </c>
      <c r="B335" s="17" t="s">
        <v>2113</v>
      </c>
      <c r="C335" s="18" t="s">
        <v>287</v>
      </c>
    </row>
    <row r="336" spans="1:3">
      <c r="A336" s="17" t="s">
        <v>2114</v>
      </c>
      <c r="B336" s="17" t="s">
        <v>2115</v>
      </c>
      <c r="C336" s="18" t="s">
        <v>287</v>
      </c>
    </row>
    <row r="337" spans="1:3">
      <c r="A337" s="17" t="s">
        <v>2116</v>
      </c>
      <c r="B337" s="17" t="s">
        <v>2117</v>
      </c>
      <c r="C337" s="18" t="s">
        <v>287</v>
      </c>
    </row>
    <row r="338" spans="1:3">
      <c r="A338" s="17" t="s">
        <v>2139</v>
      </c>
      <c r="B338" s="17" t="s">
        <v>2140</v>
      </c>
      <c r="C338" s="18" t="s">
        <v>287</v>
      </c>
    </row>
    <row r="339" spans="1:3">
      <c r="A339" s="17" t="s">
        <v>2141</v>
      </c>
      <c r="B339" s="17" t="s">
        <v>2142</v>
      </c>
      <c r="C339" s="18" t="s">
        <v>287</v>
      </c>
    </row>
    <row r="340" spans="1:3">
      <c r="A340" s="17" t="s">
        <v>1838</v>
      </c>
      <c r="B340" s="17" t="s">
        <v>1839</v>
      </c>
      <c r="C340" s="18" t="s">
        <v>287</v>
      </c>
    </row>
    <row r="341" spans="1:3">
      <c r="A341" s="17" t="s">
        <v>1846</v>
      </c>
      <c r="B341" s="17" t="s">
        <v>1847</v>
      </c>
      <c r="C341" s="18" t="s">
        <v>287</v>
      </c>
    </row>
    <row r="342" spans="1:3">
      <c r="A342" s="17" t="s">
        <v>1848</v>
      </c>
      <c r="B342" s="17" t="s">
        <v>1849</v>
      </c>
      <c r="C342" s="18" t="s">
        <v>287</v>
      </c>
    </row>
    <row r="343" spans="1:3">
      <c r="A343" s="17" t="s">
        <v>1832</v>
      </c>
      <c r="B343" s="17" t="s">
        <v>1833</v>
      </c>
      <c r="C343" s="18" t="s">
        <v>287</v>
      </c>
    </row>
    <row r="344" spans="1:3">
      <c r="A344" s="17" t="s">
        <v>1834</v>
      </c>
      <c r="B344" s="17" t="s">
        <v>1835</v>
      </c>
      <c r="C344" s="18" t="s">
        <v>287</v>
      </c>
    </row>
    <row r="345" spans="1:3">
      <c r="A345" s="17" t="s">
        <v>1836</v>
      </c>
      <c r="B345" s="17" t="s">
        <v>1837</v>
      </c>
      <c r="C345" s="18" t="s">
        <v>287</v>
      </c>
    </row>
    <row r="346" spans="1:3">
      <c r="A346" s="17" t="s">
        <v>1840</v>
      </c>
      <c r="B346" s="17" t="s">
        <v>1841</v>
      </c>
      <c r="C346" s="18" t="s">
        <v>287</v>
      </c>
    </row>
    <row r="347" spans="1:3">
      <c r="A347" s="17" t="s">
        <v>1842</v>
      </c>
      <c r="B347" s="17" t="s">
        <v>1843</v>
      </c>
      <c r="C347" s="18" t="s">
        <v>287</v>
      </c>
    </row>
    <row r="348" spans="1:3">
      <c r="A348" s="17" t="s">
        <v>1830</v>
      </c>
      <c r="B348" s="17" t="s">
        <v>1831</v>
      </c>
      <c r="C348" s="18" t="s">
        <v>287</v>
      </c>
    </row>
    <row r="349" spans="1:3">
      <c r="A349" s="17" t="s">
        <v>1844</v>
      </c>
      <c r="B349" s="17" t="s">
        <v>1845</v>
      </c>
      <c r="C349" s="18" t="s">
        <v>287</v>
      </c>
    </row>
    <row r="350" spans="1:3">
      <c r="A350" s="17" t="s">
        <v>2123</v>
      </c>
      <c r="B350" s="17" t="s">
        <v>2124</v>
      </c>
      <c r="C350" s="18" t="s">
        <v>287</v>
      </c>
    </row>
    <row r="351" spans="1:3">
      <c r="A351" s="17" t="s">
        <v>2125</v>
      </c>
      <c r="B351" s="17" t="s">
        <v>2126</v>
      </c>
      <c r="C351" s="18" t="s">
        <v>287</v>
      </c>
    </row>
    <row r="352" spans="1:3">
      <c r="A352" s="17" t="s">
        <v>1135</v>
      </c>
      <c r="B352" s="17" t="s">
        <v>1136</v>
      </c>
      <c r="C352" s="18" t="s">
        <v>287</v>
      </c>
    </row>
    <row r="353" spans="1:3">
      <c r="A353" s="17" t="s">
        <v>1179</v>
      </c>
      <c r="B353" s="17" t="s">
        <v>1180</v>
      </c>
      <c r="C353" s="18" t="s">
        <v>287</v>
      </c>
    </row>
    <row r="354" spans="1:3">
      <c r="A354" s="17" t="s">
        <v>1091</v>
      </c>
      <c r="B354" s="17" t="s">
        <v>1092</v>
      </c>
      <c r="C354" s="18" t="s">
        <v>287</v>
      </c>
    </row>
    <row r="355" spans="1:3">
      <c r="A355" s="17" t="s">
        <v>1047</v>
      </c>
      <c r="B355" s="17" t="s">
        <v>1048</v>
      </c>
      <c r="C355" s="18" t="s">
        <v>287</v>
      </c>
    </row>
    <row r="356" spans="1:3">
      <c r="A356" s="17" t="s">
        <v>1137</v>
      </c>
      <c r="B356" s="17" t="s">
        <v>1138</v>
      </c>
      <c r="C356" s="18" t="s">
        <v>287</v>
      </c>
    </row>
    <row r="357" spans="1:3">
      <c r="A357" s="17" t="s">
        <v>1181</v>
      </c>
      <c r="B357" s="17" t="s">
        <v>1182</v>
      </c>
      <c r="C357" s="18" t="s">
        <v>287</v>
      </c>
    </row>
    <row r="358" spans="1:3">
      <c r="A358" s="17" t="s">
        <v>1093</v>
      </c>
      <c r="B358" s="17" t="s">
        <v>1094</v>
      </c>
      <c r="C358" s="18" t="s">
        <v>287</v>
      </c>
    </row>
    <row r="359" spans="1:3">
      <c r="A359" s="17" t="s">
        <v>1049</v>
      </c>
      <c r="B359" s="17" t="s">
        <v>1050</v>
      </c>
      <c r="C359" s="18" t="s">
        <v>287</v>
      </c>
    </row>
    <row r="360" spans="1:3">
      <c r="A360" s="17" t="s">
        <v>1139</v>
      </c>
      <c r="B360" s="17" t="s">
        <v>1140</v>
      </c>
      <c r="C360" s="18" t="s">
        <v>287</v>
      </c>
    </row>
    <row r="361" spans="1:3">
      <c r="A361" s="17" t="s">
        <v>1183</v>
      </c>
      <c r="B361" s="17" t="s">
        <v>1184</v>
      </c>
      <c r="C361" s="18" t="s">
        <v>287</v>
      </c>
    </row>
    <row r="362" spans="1:3">
      <c r="A362" s="17" t="s">
        <v>1095</v>
      </c>
      <c r="B362" s="17" t="s">
        <v>1096</v>
      </c>
      <c r="C362" s="18" t="s">
        <v>287</v>
      </c>
    </row>
    <row r="363" spans="1:3">
      <c r="A363" s="17" t="s">
        <v>1051</v>
      </c>
      <c r="B363" s="17" t="s">
        <v>1052</v>
      </c>
      <c r="C363" s="18" t="s">
        <v>287</v>
      </c>
    </row>
    <row r="364" spans="1:3">
      <c r="A364" s="17" t="s">
        <v>1141</v>
      </c>
      <c r="B364" s="17" t="s">
        <v>1142</v>
      </c>
      <c r="C364" s="18" t="s">
        <v>287</v>
      </c>
    </row>
    <row r="365" spans="1:3">
      <c r="A365" s="17" t="s">
        <v>1185</v>
      </c>
      <c r="B365" s="17" t="s">
        <v>1186</v>
      </c>
      <c r="C365" s="18" t="s">
        <v>287</v>
      </c>
    </row>
    <row r="366" spans="1:3">
      <c r="A366" s="17" t="s">
        <v>1097</v>
      </c>
      <c r="B366" s="17" t="s">
        <v>1098</v>
      </c>
      <c r="C366" s="18" t="s">
        <v>287</v>
      </c>
    </row>
    <row r="367" spans="1:3">
      <c r="A367" s="17" t="s">
        <v>1053</v>
      </c>
      <c r="B367" s="17" t="s">
        <v>1054</v>
      </c>
      <c r="C367" s="18" t="s">
        <v>287</v>
      </c>
    </row>
    <row r="368" spans="1:3">
      <c r="A368" s="17" t="s">
        <v>1143</v>
      </c>
      <c r="B368" s="17" t="s">
        <v>1144</v>
      </c>
      <c r="C368" s="18" t="s">
        <v>287</v>
      </c>
    </row>
    <row r="369" spans="1:3">
      <c r="A369" s="17" t="s">
        <v>1187</v>
      </c>
      <c r="B369" s="17" t="s">
        <v>1188</v>
      </c>
      <c r="C369" s="18" t="s">
        <v>287</v>
      </c>
    </row>
    <row r="370" spans="1:3">
      <c r="A370" s="17" t="s">
        <v>1099</v>
      </c>
      <c r="B370" s="17" t="s">
        <v>1100</v>
      </c>
      <c r="C370" s="18" t="s">
        <v>287</v>
      </c>
    </row>
    <row r="371" spans="1:3">
      <c r="A371" s="17" t="s">
        <v>1055</v>
      </c>
      <c r="B371" s="17" t="s">
        <v>1056</v>
      </c>
      <c r="C371" s="18" t="s">
        <v>287</v>
      </c>
    </row>
    <row r="372" spans="1:3">
      <c r="A372" s="17" t="s">
        <v>1145</v>
      </c>
      <c r="B372" s="17" t="s">
        <v>1146</v>
      </c>
      <c r="C372" s="18" t="s">
        <v>287</v>
      </c>
    </row>
    <row r="373" spans="1:3">
      <c r="A373" s="17" t="s">
        <v>1189</v>
      </c>
      <c r="B373" s="17" t="s">
        <v>1190</v>
      </c>
      <c r="C373" s="18" t="s">
        <v>287</v>
      </c>
    </row>
    <row r="374" spans="1:3">
      <c r="A374" s="17" t="s">
        <v>1101</v>
      </c>
      <c r="B374" s="17" t="s">
        <v>1102</v>
      </c>
      <c r="C374" s="18" t="s">
        <v>287</v>
      </c>
    </row>
    <row r="375" spans="1:3">
      <c r="A375" s="17" t="s">
        <v>1057</v>
      </c>
      <c r="B375" s="17" t="s">
        <v>1058</v>
      </c>
      <c r="C375" s="18" t="s">
        <v>287</v>
      </c>
    </row>
    <row r="376" spans="1:3">
      <c r="A376" s="17" t="s">
        <v>1147</v>
      </c>
      <c r="B376" s="17" t="s">
        <v>1148</v>
      </c>
      <c r="C376" s="18" t="s">
        <v>287</v>
      </c>
    </row>
    <row r="377" spans="1:3">
      <c r="A377" s="17" t="s">
        <v>1191</v>
      </c>
      <c r="B377" s="17" t="s">
        <v>1192</v>
      </c>
      <c r="C377" s="18" t="s">
        <v>287</v>
      </c>
    </row>
    <row r="378" spans="1:3">
      <c r="A378" s="17" t="s">
        <v>1103</v>
      </c>
      <c r="B378" s="17" t="s">
        <v>1104</v>
      </c>
      <c r="C378" s="18" t="s">
        <v>287</v>
      </c>
    </row>
    <row r="379" spans="1:3">
      <c r="A379" s="17" t="s">
        <v>1059</v>
      </c>
      <c r="B379" s="17" t="s">
        <v>1060</v>
      </c>
      <c r="C379" s="18" t="s">
        <v>287</v>
      </c>
    </row>
    <row r="380" spans="1:3">
      <c r="A380" s="17" t="s">
        <v>1149</v>
      </c>
      <c r="B380" s="17" t="s">
        <v>1150</v>
      </c>
      <c r="C380" s="18" t="s">
        <v>287</v>
      </c>
    </row>
    <row r="381" spans="1:3">
      <c r="A381" s="17" t="s">
        <v>1193</v>
      </c>
      <c r="B381" s="17" t="s">
        <v>1194</v>
      </c>
      <c r="C381" s="18" t="s">
        <v>287</v>
      </c>
    </row>
    <row r="382" spans="1:3">
      <c r="A382" s="17" t="s">
        <v>1105</v>
      </c>
      <c r="B382" s="17" t="s">
        <v>1106</v>
      </c>
      <c r="C382" s="18" t="s">
        <v>287</v>
      </c>
    </row>
    <row r="383" spans="1:3">
      <c r="A383" s="17" t="s">
        <v>1061</v>
      </c>
      <c r="B383" s="17" t="s">
        <v>1062</v>
      </c>
      <c r="C383" s="18" t="s">
        <v>287</v>
      </c>
    </row>
    <row r="384" spans="1:3">
      <c r="A384" s="17" t="s">
        <v>1151</v>
      </c>
      <c r="B384" s="17" t="s">
        <v>1152</v>
      </c>
      <c r="C384" s="18" t="s">
        <v>287</v>
      </c>
    </row>
    <row r="385" spans="1:3">
      <c r="A385" s="17" t="s">
        <v>1195</v>
      </c>
      <c r="B385" s="17" t="s">
        <v>1196</v>
      </c>
      <c r="C385" s="18" t="s">
        <v>287</v>
      </c>
    </row>
    <row r="386" spans="1:3">
      <c r="A386" s="17" t="s">
        <v>1107</v>
      </c>
      <c r="B386" s="17" t="s">
        <v>1108</v>
      </c>
      <c r="C386" s="18" t="s">
        <v>287</v>
      </c>
    </row>
    <row r="387" spans="1:3">
      <c r="A387" s="17" t="s">
        <v>1063</v>
      </c>
      <c r="B387" s="17" t="s">
        <v>1064</v>
      </c>
      <c r="C387" s="18" t="s">
        <v>287</v>
      </c>
    </row>
    <row r="388" spans="1:3">
      <c r="A388" s="17" t="s">
        <v>1153</v>
      </c>
      <c r="B388" s="17" t="s">
        <v>1154</v>
      </c>
      <c r="C388" s="18" t="s">
        <v>287</v>
      </c>
    </row>
    <row r="389" spans="1:3">
      <c r="A389" s="17" t="s">
        <v>1197</v>
      </c>
      <c r="B389" s="17" t="s">
        <v>1198</v>
      </c>
      <c r="C389" s="18" t="s">
        <v>287</v>
      </c>
    </row>
    <row r="390" spans="1:3">
      <c r="A390" s="17" t="s">
        <v>1109</v>
      </c>
      <c r="B390" s="17" t="s">
        <v>1110</v>
      </c>
      <c r="C390" s="18" t="s">
        <v>287</v>
      </c>
    </row>
    <row r="391" spans="1:3">
      <c r="A391" s="17" t="s">
        <v>1065</v>
      </c>
      <c r="B391" s="17" t="s">
        <v>1066</v>
      </c>
      <c r="C391" s="18" t="s">
        <v>287</v>
      </c>
    </row>
    <row r="392" spans="1:3">
      <c r="A392" s="17" t="s">
        <v>1155</v>
      </c>
      <c r="B392" s="17" t="s">
        <v>1156</v>
      </c>
      <c r="C392" s="18" t="s">
        <v>287</v>
      </c>
    </row>
    <row r="393" spans="1:3">
      <c r="A393" s="17" t="s">
        <v>1199</v>
      </c>
      <c r="B393" s="17" t="s">
        <v>1200</v>
      </c>
      <c r="C393" s="18" t="s">
        <v>287</v>
      </c>
    </row>
    <row r="394" spans="1:3">
      <c r="A394" s="17" t="s">
        <v>1111</v>
      </c>
      <c r="B394" s="17" t="s">
        <v>1112</v>
      </c>
      <c r="C394" s="18" t="s">
        <v>287</v>
      </c>
    </row>
    <row r="395" spans="1:3">
      <c r="A395" s="17" t="s">
        <v>1067</v>
      </c>
      <c r="B395" s="17" t="s">
        <v>1068</v>
      </c>
      <c r="C395" s="18" t="s">
        <v>287</v>
      </c>
    </row>
    <row r="396" spans="1:3">
      <c r="A396" s="17" t="s">
        <v>2135</v>
      </c>
      <c r="B396" s="17" t="s">
        <v>1140</v>
      </c>
      <c r="C396" s="18" t="s">
        <v>287</v>
      </c>
    </row>
    <row r="397" spans="1:3">
      <c r="A397" s="17" t="s">
        <v>2136</v>
      </c>
      <c r="B397" s="17" t="s">
        <v>1148</v>
      </c>
      <c r="C397" s="18" t="s">
        <v>287</v>
      </c>
    </row>
    <row r="398" spans="1:3">
      <c r="A398" s="17" t="s">
        <v>2127</v>
      </c>
      <c r="B398" s="17" t="s">
        <v>2128</v>
      </c>
      <c r="C398" s="18" t="s">
        <v>287</v>
      </c>
    </row>
    <row r="399" spans="1:3">
      <c r="A399" s="17" t="s">
        <v>2129</v>
      </c>
      <c r="B399" s="17" t="s">
        <v>2130</v>
      </c>
      <c r="C399" s="18" t="s">
        <v>287</v>
      </c>
    </row>
    <row r="400" spans="1:3">
      <c r="A400" s="17" t="s">
        <v>211</v>
      </c>
      <c r="B400" s="17" t="s">
        <v>1940</v>
      </c>
      <c r="C400" s="18" t="s">
        <v>287</v>
      </c>
    </row>
    <row r="401" spans="1:3">
      <c r="A401" s="17" t="s">
        <v>641</v>
      </c>
      <c r="B401" s="17" t="s">
        <v>642</v>
      </c>
      <c r="C401" s="18" t="s">
        <v>287</v>
      </c>
    </row>
    <row r="402" spans="1:3">
      <c r="A402" s="17" t="s">
        <v>893</v>
      </c>
      <c r="B402" s="17" t="s">
        <v>894</v>
      </c>
      <c r="C402" s="18" t="s">
        <v>287</v>
      </c>
    </row>
    <row r="403" spans="1:3">
      <c r="A403" s="17" t="s">
        <v>216</v>
      </c>
      <c r="B403" s="17" t="s">
        <v>1941</v>
      </c>
      <c r="C403" s="18" t="s">
        <v>287</v>
      </c>
    </row>
    <row r="404" spans="1:3">
      <c r="A404" s="17" t="s">
        <v>643</v>
      </c>
      <c r="B404" s="17" t="s">
        <v>644</v>
      </c>
      <c r="C404" s="18" t="s">
        <v>287</v>
      </c>
    </row>
    <row r="405" spans="1:3">
      <c r="A405" s="17" t="s">
        <v>895</v>
      </c>
      <c r="B405" s="17" t="s">
        <v>896</v>
      </c>
      <c r="C405" s="18" t="s">
        <v>287</v>
      </c>
    </row>
    <row r="406" spans="1:3">
      <c r="A406" s="17" t="s">
        <v>147</v>
      </c>
      <c r="B406" s="17" t="s">
        <v>1943</v>
      </c>
      <c r="C406" s="18" t="s">
        <v>287</v>
      </c>
    </row>
    <row r="407" spans="1:3">
      <c r="A407" s="17" t="s">
        <v>647</v>
      </c>
      <c r="B407" s="17" t="s">
        <v>648</v>
      </c>
      <c r="C407" s="18" t="s">
        <v>287</v>
      </c>
    </row>
    <row r="408" spans="1:3">
      <c r="A408" s="17" t="s">
        <v>899</v>
      </c>
      <c r="B408" s="17" t="s">
        <v>900</v>
      </c>
      <c r="C408" s="18" t="s">
        <v>287</v>
      </c>
    </row>
    <row r="409" spans="1:3">
      <c r="A409" s="17" t="s">
        <v>254</v>
      </c>
      <c r="B409" s="17" t="s">
        <v>1958</v>
      </c>
      <c r="C409" s="18" t="s">
        <v>287</v>
      </c>
    </row>
    <row r="410" spans="1:3">
      <c r="A410" s="17" t="s">
        <v>665</v>
      </c>
      <c r="B410" s="17" t="s">
        <v>666</v>
      </c>
      <c r="C410" s="18" t="s">
        <v>287</v>
      </c>
    </row>
    <row r="411" spans="1:3">
      <c r="A411" s="17" t="s">
        <v>917</v>
      </c>
      <c r="B411" s="17" t="s">
        <v>918</v>
      </c>
      <c r="C411" s="18" t="s">
        <v>287</v>
      </c>
    </row>
    <row r="412" spans="1:3">
      <c r="A412" s="17" t="s">
        <v>146</v>
      </c>
      <c r="B412" s="17" t="s">
        <v>1942</v>
      </c>
      <c r="C412" s="18" t="s">
        <v>287</v>
      </c>
    </row>
    <row r="413" spans="1:3">
      <c r="A413" s="17" t="s">
        <v>645</v>
      </c>
      <c r="B413" s="17" t="s">
        <v>646</v>
      </c>
      <c r="C413" s="18" t="s">
        <v>287</v>
      </c>
    </row>
    <row r="414" spans="1:3">
      <c r="A414" s="17" t="s">
        <v>897</v>
      </c>
      <c r="B414" s="17" t="s">
        <v>898</v>
      </c>
      <c r="C414" s="18" t="s">
        <v>287</v>
      </c>
    </row>
    <row r="415" spans="1:3">
      <c r="A415" s="17" t="s">
        <v>148</v>
      </c>
      <c r="B415" s="17" t="s">
        <v>1944</v>
      </c>
      <c r="C415" s="18" t="s">
        <v>287</v>
      </c>
    </row>
    <row r="416" spans="1:3">
      <c r="A416" s="17" t="s">
        <v>649</v>
      </c>
      <c r="B416" s="17" t="s">
        <v>650</v>
      </c>
      <c r="C416" s="18" t="s">
        <v>287</v>
      </c>
    </row>
    <row r="417" spans="1:3">
      <c r="A417" s="17" t="s">
        <v>901</v>
      </c>
      <c r="B417" s="17" t="s">
        <v>902</v>
      </c>
      <c r="C417" s="18" t="s">
        <v>287</v>
      </c>
    </row>
    <row r="418" spans="1:3">
      <c r="A418" s="17" t="s">
        <v>253</v>
      </c>
      <c r="B418" s="17" t="s">
        <v>1945</v>
      </c>
      <c r="C418" s="18" t="s">
        <v>287</v>
      </c>
    </row>
    <row r="419" spans="1:3">
      <c r="A419" s="17" t="s">
        <v>651</v>
      </c>
      <c r="B419" s="17" t="s">
        <v>652</v>
      </c>
      <c r="C419" s="18" t="s">
        <v>287</v>
      </c>
    </row>
    <row r="420" spans="1:3">
      <c r="A420" s="17" t="s">
        <v>903</v>
      </c>
      <c r="B420" s="17" t="s">
        <v>904</v>
      </c>
      <c r="C420" s="18" t="s">
        <v>287</v>
      </c>
    </row>
    <row r="421" spans="1:3">
      <c r="A421" s="17" t="s">
        <v>1954</v>
      </c>
      <c r="B421" s="17" t="s">
        <v>1955</v>
      </c>
      <c r="C421" s="18" t="s">
        <v>287</v>
      </c>
    </row>
    <row r="422" spans="1:3">
      <c r="A422" s="17" t="s">
        <v>661</v>
      </c>
      <c r="B422" s="17" t="s">
        <v>662</v>
      </c>
      <c r="C422" s="18" t="s">
        <v>287</v>
      </c>
    </row>
    <row r="423" spans="1:3">
      <c r="A423" s="17" t="s">
        <v>913</v>
      </c>
      <c r="B423" s="17" t="s">
        <v>914</v>
      </c>
      <c r="C423" s="18" t="s">
        <v>287</v>
      </c>
    </row>
    <row r="424" spans="1:3">
      <c r="A424" s="17" t="s">
        <v>1946</v>
      </c>
      <c r="B424" s="17" t="s">
        <v>1947</v>
      </c>
      <c r="C424" s="18" t="s">
        <v>287</v>
      </c>
    </row>
    <row r="425" spans="1:3">
      <c r="A425" s="17" t="s">
        <v>653</v>
      </c>
      <c r="B425" s="17" t="s">
        <v>654</v>
      </c>
      <c r="C425" s="18" t="s">
        <v>287</v>
      </c>
    </row>
    <row r="426" spans="1:3">
      <c r="A426" s="17" t="s">
        <v>905</v>
      </c>
      <c r="B426" s="17" t="s">
        <v>906</v>
      </c>
      <c r="C426" s="18" t="s">
        <v>287</v>
      </c>
    </row>
    <row r="427" spans="1:3">
      <c r="A427" s="17" t="s">
        <v>1950</v>
      </c>
      <c r="B427" s="17" t="s">
        <v>1951</v>
      </c>
      <c r="C427" s="18" t="s">
        <v>287</v>
      </c>
    </row>
    <row r="428" spans="1:3">
      <c r="A428" s="17" t="s">
        <v>657</v>
      </c>
      <c r="B428" s="17" t="s">
        <v>658</v>
      </c>
      <c r="C428" s="18" t="s">
        <v>287</v>
      </c>
    </row>
    <row r="429" spans="1:3">
      <c r="A429" s="17" t="s">
        <v>909</v>
      </c>
      <c r="B429" s="17" t="s">
        <v>910</v>
      </c>
      <c r="C429" s="18" t="s">
        <v>287</v>
      </c>
    </row>
    <row r="430" spans="1:3">
      <c r="A430" s="17" t="s">
        <v>1948</v>
      </c>
      <c r="B430" s="17" t="s">
        <v>1949</v>
      </c>
      <c r="C430" s="18" t="s">
        <v>287</v>
      </c>
    </row>
    <row r="431" spans="1:3">
      <c r="A431" s="17" t="s">
        <v>655</v>
      </c>
      <c r="B431" s="17" t="s">
        <v>656</v>
      </c>
      <c r="C431" s="18" t="s">
        <v>287</v>
      </c>
    </row>
    <row r="432" spans="1:3">
      <c r="A432" s="17" t="s">
        <v>907</v>
      </c>
      <c r="B432" s="17" t="s">
        <v>908</v>
      </c>
      <c r="C432" s="18" t="s">
        <v>287</v>
      </c>
    </row>
    <row r="433" spans="1:3">
      <c r="A433" s="17" t="s">
        <v>1956</v>
      </c>
      <c r="B433" s="17" t="s">
        <v>1957</v>
      </c>
      <c r="C433" s="18" t="s">
        <v>287</v>
      </c>
    </row>
    <row r="434" spans="1:3">
      <c r="A434" s="17" t="s">
        <v>663</v>
      </c>
      <c r="B434" s="17" t="s">
        <v>664</v>
      </c>
      <c r="C434" s="18" t="s">
        <v>287</v>
      </c>
    </row>
    <row r="435" spans="1:3">
      <c r="A435" s="17" t="s">
        <v>915</v>
      </c>
      <c r="B435" s="17" t="s">
        <v>916</v>
      </c>
      <c r="C435" s="18" t="s">
        <v>287</v>
      </c>
    </row>
    <row r="436" spans="1:3">
      <c r="A436" s="17" t="s">
        <v>1952</v>
      </c>
      <c r="B436" s="17" t="s">
        <v>1953</v>
      </c>
      <c r="C436" s="18" t="s">
        <v>287</v>
      </c>
    </row>
    <row r="437" spans="1:3">
      <c r="A437" s="17" t="s">
        <v>659</v>
      </c>
      <c r="B437" s="17" t="s">
        <v>660</v>
      </c>
      <c r="C437" s="18" t="s">
        <v>287</v>
      </c>
    </row>
    <row r="438" spans="1:3">
      <c r="A438" s="17" t="s">
        <v>911</v>
      </c>
      <c r="B438" s="17" t="s">
        <v>912</v>
      </c>
      <c r="C438" s="18" t="s">
        <v>287</v>
      </c>
    </row>
    <row r="439" spans="1:3">
      <c r="A439" s="17" t="s">
        <v>1792</v>
      </c>
      <c r="B439" s="17" t="s">
        <v>1793</v>
      </c>
      <c r="C439" s="18" t="s">
        <v>287</v>
      </c>
    </row>
    <row r="440" spans="1:3">
      <c r="A440" s="17" t="s">
        <v>1816</v>
      </c>
      <c r="B440" s="17" t="s">
        <v>1817</v>
      </c>
      <c r="C440" s="18" t="s">
        <v>287</v>
      </c>
    </row>
    <row r="441" spans="1:3">
      <c r="A441" s="17" t="s">
        <v>1794</v>
      </c>
      <c r="B441" s="17" t="s">
        <v>1795</v>
      </c>
      <c r="C441" s="18" t="s">
        <v>287</v>
      </c>
    </row>
    <row r="442" spans="1:3">
      <c r="A442" s="17" t="s">
        <v>1818</v>
      </c>
      <c r="B442" s="17" t="s">
        <v>1819</v>
      </c>
      <c r="C442" s="18" t="s">
        <v>287</v>
      </c>
    </row>
    <row r="443" spans="1:3">
      <c r="A443" s="17" t="s">
        <v>1796</v>
      </c>
      <c r="B443" s="17" t="s">
        <v>1797</v>
      </c>
      <c r="C443" s="18" t="s">
        <v>287</v>
      </c>
    </row>
    <row r="444" spans="1:3">
      <c r="A444" s="17" t="s">
        <v>1798</v>
      </c>
      <c r="B444" s="17" t="s">
        <v>1799</v>
      </c>
      <c r="C444" s="18" t="s">
        <v>287</v>
      </c>
    </row>
    <row r="445" spans="1:3">
      <c r="A445" s="17" t="s">
        <v>1800</v>
      </c>
      <c r="B445" s="17" t="s">
        <v>1801</v>
      </c>
      <c r="C445" s="18" t="s">
        <v>287</v>
      </c>
    </row>
    <row r="446" spans="1:3">
      <c r="A446" s="17" t="s">
        <v>1802</v>
      </c>
      <c r="B446" s="17" t="s">
        <v>1803</v>
      </c>
      <c r="C446" s="18" t="s">
        <v>287</v>
      </c>
    </row>
    <row r="447" spans="1:3">
      <c r="A447" s="17" t="s">
        <v>1822</v>
      </c>
      <c r="B447" s="17" t="s">
        <v>1823</v>
      </c>
      <c r="C447" s="18" t="s">
        <v>287</v>
      </c>
    </row>
    <row r="448" spans="1:3">
      <c r="A448" s="17" t="s">
        <v>1820</v>
      </c>
      <c r="B448" s="17" t="s">
        <v>1821</v>
      </c>
      <c r="C448" s="18" t="s">
        <v>287</v>
      </c>
    </row>
    <row r="449" spans="1:3">
      <c r="A449" s="17" t="s">
        <v>1804</v>
      </c>
      <c r="B449" s="17" t="s">
        <v>1805</v>
      </c>
      <c r="C449" s="18" t="s">
        <v>287</v>
      </c>
    </row>
    <row r="450" spans="1:3">
      <c r="A450" s="17" t="s">
        <v>1824</v>
      </c>
      <c r="B450" s="17" t="s">
        <v>1825</v>
      </c>
      <c r="C450" s="18" t="s">
        <v>287</v>
      </c>
    </row>
    <row r="451" spans="1:3">
      <c r="A451" s="17" t="s">
        <v>1806</v>
      </c>
      <c r="B451" s="17" t="s">
        <v>1807</v>
      </c>
      <c r="C451" s="18" t="s">
        <v>287</v>
      </c>
    </row>
    <row r="452" spans="1:3">
      <c r="A452" s="17" t="s">
        <v>1826</v>
      </c>
      <c r="B452" s="17" t="s">
        <v>1827</v>
      </c>
      <c r="C452" s="18" t="s">
        <v>287</v>
      </c>
    </row>
    <row r="453" spans="1:3">
      <c r="A453" s="17" t="s">
        <v>1808</v>
      </c>
      <c r="B453" s="17" t="s">
        <v>1809</v>
      </c>
      <c r="C453" s="18" t="s">
        <v>287</v>
      </c>
    </row>
    <row r="454" spans="1:3">
      <c r="A454" s="17" t="s">
        <v>1812</v>
      </c>
      <c r="B454" s="17" t="s">
        <v>1813</v>
      </c>
      <c r="C454" s="18" t="s">
        <v>287</v>
      </c>
    </row>
    <row r="455" spans="1:3">
      <c r="A455" s="17" t="s">
        <v>1814</v>
      </c>
      <c r="B455" s="17" t="s">
        <v>1815</v>
      </c>
      <c r="C455" s="18" t="s">
        <v>287</v>
      </c>
    </row>
    <row r="456" spans="1:3">
      <c r="A456" s="17" t="s">
        <v>1828</v>
      </c>
      <c r="B456" s="17" t="s">
        <v>1829</v>
      </c>
      <c r="C456" s="18" t="s">
        <v>287</v>
      </c>
    </row>
    <row r="457" spans="1:3">
      <c r="A457" s="17" t="s">
        <v>1810</v>
      </c>
      <c r="B457" s="17" t="s">
        <v>1811</v>
      </c>
      <c r="C457" s="18" t="s">
        <v>287</v>
      </c>
    </row>
    <row r="458" spans="1:3">
      <c r="A458" s="17" t="s">
        <v>2074</v>
      </c>
      <c r="B458" s="17" t="s">
        <v>2075</v>
      </c>
      <c r="C458" s="18" t="s">
        <v>287</v>
      </c>
    </row>
    <row r="459" spans="1:3">
      <c r="A459" s="17" t="s">
        <v>2076</v>
      </c>
      <c r="B459" s="17" t="s">
        <v>2077</v>
      </c>
      <c r="C459" s="18" t="s">
        <v>287</v>
      </c>
    </row>
    <row r="460" spans="1:3">
      <c r="A460" s="17" t="s">
        <v>2078</v>
      </c>
      <c r="B460" s="17" t="s">
        <v>2079</v>
      </c>
      <c r="C460" s="18" t="s">
        <v>287</v>
      </c>
    </row>
    <row r="461" spans="1:3">
      <c r="A461" s="17" t="s">
        <v>1157</v>
      </c>
      <c r="B461" s="17" t="s">
        <v>1158</v>
      </c>
      <c r="C461" s="18" t="s">
        <v>287</v>
      </c>
    </row>
    <row r="462" spans="1:3">
      <c r="A462" s="17" t="s">
        <v>1201</v>
      </c>
      <c r="B462" s="17" t="s">
        <v>1202</v>
      </c>
      <c r="C462" s="18" t="s">
        <v>287</v>
      </c>
    </row>
    <row r="463" spans="1:3">
      <c r="A463" s="17" t="s">
        <v>1113</v>
      </c>
      <c r="B463" s="17" t="s">
        <v>1114</v>
      </c>
      <c r="C463" s="18" t="s">
        <v>287</v>
      </c>
    </row>
    <row r="464" spans="1:3">
      <c r="A464" s="17" t="s">
        <v>1069</v>
      </c>
      <c r="B464" s="17" t="s">
        <v>1070</v>
      </c>
      <c r="C464" s="18" t="s">
        <v>287</v>
      </c>
    </row>
    <row r="465" spans="1:3">
      <c r="A465" s="17" t="s">
        <v>1159</v>
      </c>
      <c r="B465" s="17" t="s">
        <v>1160</v>
      </c>
      <c r="C465" s="18" t="s">
        <v>287</v>
      </c>
    </row>
    <row r="466" spans="1:3">
      <c r="A466" s="17" t="s">
        <v>1203</v>
      </c>
      <c r="B466" s="17" t="s">
        <v>1204</v>
      </c>
      <c r="C466" s="18" t="s">
        <v>287</v>
      </c>
    </row>
    <row r="467" spans="1:3">
      <c r="A467" s="17" t="s">
        <v>1115</v>
      </c>
      <c r="B467" s="17" t="s">
        <v>1116</v>
      </c>
      <c r="C467" s="18" t="s">
        <v>287</v>
      </c>
    </row>
    <row r="468" spans="1:3">
      <c r="A468" s="17" t="s">
        <v>1071</v>
      </c>
      <c r="B468" s="17" t="s">
        <v>1072</v>
      </c>
      <c r="C468" s="18" t="s">
        <v>287</v>
      </c>
    </row>
    <row r="469" spans="1:3">
      <c r="A469" s="17" t="s">
        <v>1161</v>
      </c>
      <c r="B469" s="17" t="s">
        <v>1162</v>
      </c>
      <c r="C469" s="18" t="s">
        <v>287</v>
      </c>
    </row>
    <row r="470" spans="1:3">
      <c r="A470" s="17" t="s">
        <v>1205</v>
      </c>
      <c r="B470" s="17" t="s">
        <v>1206</v>
      </c>
      <c r="C470" s="18" t="s">
        <v>287</v>
      </c>
    </row>
    <row r="471" spans="1:3">
      <c r="A471" s="17" t="s">
        <v>1117</v>
      </c>
      <c r="B471" s="17" t="s">
        <v>1118</v>
      </c>
      <c r="C471" s="18" t="s">
        <v>287</v>
      </c>
    </row>
    <row r="472" spans="1:3">
      <c r="A472" s="17" t="s">
        <v>1073</v>
      </c>
      <c r="B472" s="17" t="s">
        <v>1074</v>
      </c>
      <c r="C472" s="18" t="s">
        <v>287</v>
      </c>
    </row>
    <row r="473" spans="1:3">
      <c r="A473" s="17" t="s">
        <v>1171</v>
      </c>
      <c r="B473" s="17" t="s">
        <v>1172</v>
      </c>
      <c r="C473" s="18" t="s">
        <v>287</v>
      </c>
    </row>
    <row r="474" spans="1:3">
      <c r="A474" s="17" t="s">
        <v>1215</v>
      </c>
      <c r="B474" s="17" t="s">
        <v>1216</v>
      </c>
      <c r="C474" s="18" t="s">
        <v>287</v>
      </c>
    </row>
    <row r="475" spans="1:3">
      <c r="A475" s="17" t="s">
        <v>1127</v>
      </c>
      <c r="B475" s="17" t="s">
        <v>1128</v>
      </c>
      <c r="C475" s="18" t="s">
        <v>287</v>
      </c>
    </row>
    <row r="476" spans="1:3">
      <c r="A476" s="17" t="s">
        <v>1083</v>
      </c>
      <c r="B476" s="17" t="s">
        <v>1084</v>
      </c>
      <c r="C476" s="18" t="s">
        <v>287</v>
      </c>
    </row>
    <row r="477" spans="1:3">
      <c r="A477" s="17" t="s">
        <v>1163</v>
      </c>
      <c r="B477" s="17" t="s">
        <v>1164</v>
      </c>
      <c r="C477" s="18" t="s">
        <v>287</v>
      </c>
    </row>
    <row r="478" spans="1:3">
      <c r="A478" s="17" t="s">
        <v>1207</v>
      </c>
      <c r="B478" s="17" t="s">
        <v>1208</v>
      </c>
      <c r="C478" s="18" t="s">
        <v>287</v>
      </c>
    </row>
    <row r="479" spans="1:3">
      <c r="A479" s="17" t="s">
        <v>1119</v>
      </c>
      <c r="B479" s="17" t="s">
        <v>1120</v>
      </c>
      <c r="C479" s="18" t="s">
        <v>287</v>
      </c>
    </row>
    <row r="480" spans="1:3">
      <c r="A480" s="17" t="s">
        <v>1075</v>
      </c>
      <c r="B480" s="17" t="s">
        <v>1076</v>
      </c>
      <c r="C480" s="18" t="s">
        <v>287</v>
      </c>
    </row>
    <row r="481" spans="1:3">
      <c r="A481" s="17" t="s">
        <v>1165</v>
      </c>
      <c r="B481" s="17" t="s">
        <v>1166</v>
      </c>
      <c r="C481" s="18" t="s">
        <v>287</v>
      </c>
    </row>
    <row r="482" spans="1:3">
      <c r="A482" s="17" t="s">
        <v>1209</v>
      </c>
      <c r="B482" s="17" t="s">
        <v>1210</v>
      </c>
      <c r="C482" s="18" t="s">
        <v>287</v>
      </c>
    </row>
    <row r="483" spans="1:3">
      <c r="A483" s="17" t="s">
        <v>1121</v>
      </c>
      <c r="B483" s="17" t="s">
        <v>1122</v>
      </c>
      <c r="C483" s="18" t="s">
        <v>287</v>
      </c>
    </row>
    <row r="484" spans="1:3">
      <c r="A484" s="17" t="s">
        <v>1077</v>
      </c>
      <c r="B484" s="17" t="s">
        <v>1078</v>
      </c>
      <c r="C484" s="18" t="s">
        <v>287</v>
      </c>
    </row>
    <row r="485" spans="1:3">
      <c r="A485" s="17" t="s">
        <v>1167</v>
      </c>
      <c r="B485" s="17" t="s">
        <v>1168</v>
      </c>
      <c r="C485" s="18" t="s">
        <v>287</v>
      </c>
    </row>
    <row r="486" spans="1:3">
      <c r="A486" s="17" t="s">
        <v>1211</v>
      </c>
      <c r="B486" s="17" t="s">
        <v>1212</v>
      </c>
      <c r="C486" s="18" t="s">
        <v>287</v>
      </c>
    </row>
    <row r="487" spans="1:3">
      <c r="A487" s="17" t="s">
        <v>1123</v>
      </c>
      <c r="B487" s="17" t="s">
        <v>1124</v>
      </c>
      <c r="C487" s="18" t="s">
        <v>287</v>
      </c>
    </row>
    <row r="488" spans="1:3">
      <c r="A488" s="17" t="s">
        <v>1079</v>
      </c>
      <c r="B488" s="17" t="s">
        <v>1080</v>
      </c>
      <c r="C488" s="18" t="s">
        <v>287</v>
      </c>
    </row>
    <row r="489" spans="1:3">
      <c r="A489" s="17" t="s">
        <v>1169</v>
      </c>
      <c r="B489" s="17" t="s">
        <v>1170</v>
      </c>
      <c r="C489" s="18" t="s">
        <v>287</v>
      </c>
    </row>
    <row r="490" spans="1:3">
      <c r="A490" s="17" t="s">
        <v>1213</v>
      </c>
      <c r="B490" s="17" t="s">
        <v>1214</v>
      </c>
      <c r="C490" s="18" t="s">
        <v>287</v>
      </c>
    </row>
    <row r="491" spans="1:3">
      <c r="A491" s="17" t="s">
        <v>1125</v>
      </c>
      <c r="B491" s="17" t="s">
        <v>1126</v>
      </c>
      <c r="C491" s="18" t="s">
        <v>287</v>
      </c>
    </row>
    <row r="492" spans="1:3">
      <c r="A492" s="17" t="s">
        <v>1081</v>
      </c>
      <c r="B492" s="17" t="s">
        <v>1082</v>
      </c>
      <c r="C492" s="18" t="s">
        <v>287</v>
      </c>
    </row>
    <row r="493" spans="1:3">
      <c r="A493" s="17" t="s">
        <v>1173</v>
      </c>
      <c r="B493" s="17" t="s">
        <v>1174</v>
      </c>
      <c r="C493" s="18" t="s">
        <v>287</v>
      </c>
    </row>
    <row r="494" spans="1:3">
      <c r="A494" s="17" t="s">
        <v>1217</v>
      </c>
      <c r="B494" s="17" t="s">
        <v>1218</v>
      </c>
      <c r="C494" s="18" t="s">
        <v>287</v>
      </c>
    </row>
    <row r="495" spans="1:3">
      <c r="A495" s="17" t="s">
        <v>1129</v>
      </c>
      <c r="B495" s="17" t="s">
        <v>1130</v>
      </c>
      <c r="C495" s="18" t="s">
        <v>287</v>
      </c>
    </row>
    <row r="496" spans="1:3">
      <c r="A496" s="17" t="s">
        <v>1085</v>
      </c>
      <c r="B496" s="17" t="s">
        <v>1086</v>
      </c>
      <c r="C496" s="18" t="s">
        <v>287</v>
      </c>
    </row>
    <row r="497" spans="1:3">
      <c r="A497" s="17" t="s">
        <v>1175</v>
      </c>
      <c r="B497" s="17" t="s">
        <v>1176</v>
      </c>
      <c r="C497" s="18" t="s">
        <v>287</v>
      </c>
    </row>
    <row r="498" spans="1:3">
      <c r="A498" s="17" t="s">
        <v>1219</v>
      </c>
      <c r="B498" s="17" t="s">
        <v>1220</v>
      </c>
      <c r="C498" s="18" t="s">
        <v>287</v>
      </c>
    </row>
    <row r="499" spans="1:3">
      <c r="A499" s="17" t="s">
        <v>1131</v>
      </c>
      <c r="B499" s="17" t="s">
        <v>1132</v>
      </c>
      <c r="C499" s="18" t="s">
        <v>287</v>
      </c>
    </row>
    <row r="500" spans="1:3">
      <c r="A500" s="17" t="s">
        <v>1087</v>
      </c>
      <c r="B500" s="17" t="s">
        <v>1088</v>
      </c>
      <c r="C500" s="18" t="s">
        <v>287</v>
      </c>
    </row>
    <row r="501" spans="1:3">
      <c r="A501" s="17" t="s">
        <v>2080</v>
      </c>
      <c r="B501" s="17" t="s">
        <v>2081</v>
      </c>
      <c r="C501" s="18" t="s">
        <v>287</v>
      </c>
    </row>
    <row r="502" spans="1:3">
      <c r="A502" s="17" t="s">
        <v>1177</v>
      </c>
      <c r="B502" s="17" t="s">
        <v>1178</v>
      </c>
      <c r="C502" s="18" t="s">
        <v>287</v>
      </c>
    </row>
    <row r="503" spans="1:3">
      <c r="A503" s="17" t="s">
        <v>1221</v>
      </c>
      <c r="B503" s="17" t="s">
        <v>1222</v>
      </c>
      <c r="C503" s="18" t="s">
        <v>287</v>
      </c>
    </row>
    <row r="504" spans="1:3">
      <c r="A504" s="17" t="s">
        <v>1133</v>
      </c>
      <c r="B504" s="17" t="s">
        <v>1134</v>
      </c>
      <c r="C504" s="18" t="s">
        <v>287</v>
      </c>
    </row>
    <row r="505" spans="1:3">
      <c r="A505" s="17" t="s">
        <v>1089</v>
      </c>
      <c r="B505" s="17" t="s">
        <v>1090</v>
      </c>
      <c r="C505" s="18" t="s">
        <v>287</v>
      </c>
    </row>
    <row r="506" spans="1:3">
      <c r="A506" s="17" t="s">
        <v>1851</v>
      </c>
      <c r="B506" s="17" t="s">
        <v>1852</v>
      </c>
      <c r="C506" s="18" t="s">
        <v>287</v>
      </c>
    </row>
    <row r="507" spans="1:3">
      <c r="A507" s="17" t="s">
        <v>544</v>
      </c>
      <c r="B507" s="17" t="s">
        <v>545</v>
      </c>
      <c r="C507" s="18" t="s">
        <v>446</v>
      </c>
    </row>
    <row r="508" spans="1:3">
      <c r="A508" s="17" t="s">
        <v>797</v>
      </c>
      <c r="B508" s="17" t="s">
        <v>798</v>
      </c>
      <c r="C508" s="18" t="s">
        <v>287</v>
      </c>
    </row>
    <row r="509" spans="1:3">
      <c r="A509" s="17" t="s">
        <v>138</v>
      </c>
      <c r="B509" s="17" t="s">
        <v>1863</v>
      </c>
      <c r="C509" s="18" t="s">
        <v>287</v>
      </c>
    </row>
    <row r="510" spans="1:3">
      <c r="A510" s="17" t="s">
        <v>556</v>
      </c>
      <c r="B510" s="17" t="s">
        <v>557</v>
      </c>
      <c r="C510" s="18" t="s">
        <v>446</v>
      </c>
    </row>
    <row r="511" spans="1:3">
      <c r="A511" s="17" t="s">
        <v>809</v>
      </c>
      <c r="B511" s="17" t="s">
        <v>810</v>
      </c>
      <c r="C511" s="18" t="s">
        <v>287</v>
      </c>
    </row>
    <row r="512" spans="1:3">
      <c r="A512" s="17" t="s">
        <v>1859</v>
      </c>
      <c r="B512" s="17" t="s">
        <v>1860</v>
      </c>
      <c r="C512" s="18" t="s">
        <v>287</v>
      </c>
    </row>
    <row r="513" spans="1:3">
      <c r="A513" s="17" t="s">
        <v>552</v>
      </c>
      <c r="B513" s="17" t="s">
        <v>553</v>
      </c>
      <c r="C513" s="18" t="s">
        <v>446</v>
      </c>
    </row>
    <row r="514" spans="1:3">
      <c r="A514" s="17" t="s">
        <v>805</v>
      </c>
      <c r="B514" s="17" t="s">
        <v>806</v>
      </c>
      <c r="C514" s="18" t="s">
        <v>287</v>
      </c>
    </row>
    <row r="515" spans="1:3">
      <c r="A515" s="17" t="s">
        <v>1861</v>
      </c>
      <c r="B515" s="17" t="s">
        <v>1862</v>
      </c>
      <c r="C515" s="18" t="s">
        <v>287</v>
      </c>
    </row>
    <row r="516" spans="1:3">
      <c r="A516" s="17" t="s">
        <v>554</v>
      </c>
      <c r="B516" s="17" t="s">
        <v>555</v>
      </c>
      <c r="C516" s="18" t="s">
        <v>446</v>
      </c>
    </row>
    <row r="517" spans="1:3">
      <c r="A517" s="17" t="s">
        <v>807</v>
      </c>
      <c r="B517" s="17" t="s">
        <v>808</v>
      </c>
      <c r="C517" s="18" t="s">
        <v>287</v>
      </c>
    </row>
    <row r="518" spans="1:3">
      <c r="A518" s="17" t="s">
        <v>133</v>
      </c>
      <c r="B518" s="17" t="s">
        <v>1850</v>
      </c>
      <c r="C518" s="18" t="s">
        <v>287</v>
      </c>
    </row>
    <row r="519" spans="1:3">
      <c r="A519" s="17" t="s">
        <v>542</v>
      </c>
      <c r="B519" s="17" t="s">
        <v>543</v>
      </c>
      <c r="C519" s="18" t="s">
        <v>446</v>
      </c>
    </row>
    <row r="520" spans="1:3">
      <c r="A520" s="17" t="s">
        <v>795</v>
      </c>
      <c r="B520" s="17" t="s">
        <v>796</v>
      </c>
      <c r="C520" s="18" t="s">
        <v>287</v>
      </c>
    </row>
    <row r="521" spans="1:3">
      <c r="A521" s="17" t="s">
        <v>1853</v>
      </c>
      <c r="B521" s="17" t="s">
        <v>1854</v>
      </c>
      <c r="C521" s="18" t="s">
        <v>287</v>
      </c>
    </row>
    <row r="522" spans="1:3">
      <c r="A522" s="17" t="s">
        <v>546</v>
      </c>
      <c r="B522" s="17" t="s">
        <v>547</v>
      </c>
      <c r="C522" s="18" t="s">
        <v>446</v>
      </c>
    </row>
    <row r="523" spans="1:3">
      <c r="A523" s="17" t="s">
        <v>799</v>
      </c>
      <c r="B523" s="17" t="s">
        <v>800</v>
      </c>
      <c r="C523" s="18" t="s">
        <v>287</v>
      </c>
    </row>
    <row r="524" spans="1:3">
      <c r="A524" s="17" t="s">
        <v>1855</v>
      </c>
      <c r="B524" s="17" t="s">
        <v>1856</v>
      </c>
      <c r="C524" s="18" t="s">
        <v>287</v>
      </c>
    </row>
    <row r="525" spans="1:3">
      <c r="A525" s="17" t="s">
        <v>548</v>
      </c>
      <c r="B525" s="17" t="s">
        <v>549</v>
      </c>
      <c r="C525" s="18" t="s">
        <v>446</v>
      </c>
    </row>
    <row r="526" spans="1:3">
      <c r="A526" s="17" t="s">
        <v>801</v>
      </c>
      <c r="B526" s="17" t="s">
        <v>802</v>
      </c>
      <c r="C526" s="18" t="s">
        <v>287</v>
      </c>
    </row>
    <row r="527" spans="1:3">
      <c r="A527" s="17" t="s">
        <v>1857</v>
      </c>
      <c r="B527" s="17" t="s">
        <v>1858</v>
      </c>
      <c r="C527" s="18" t="s">
        <v>287</v>
      </c>
    </row>
    <row r="528" spans="1:3">
      <c r="A528" s="17" t="s">
        <v>550</v>
      </c>
      <c r="B528" s="17" t="s">
        <v>551</v>
      </c>
      <c r="C528" s="18" t="s">
        <v>446</v>
      </c>
    </row>
    <row r="529" spans="1:3">
      <c r="A529" s="17" t="s">
        <v>803</v>
      </c>
      <c r="B529" s="17" t="s">
        <v>804</v>
      </c>
      <c r="C529" s="18" t="s">
        <v>287</v>
      </c>
    </row>
    <row r="530" spans="1:3">
      <c r="A530" s="17" t="s">
        <v>2131</v>
      </c>
      <c r="B530" s="17" t="s">
        <v>2132</v>
      </c>
      <c r="C530" s="18" t="s">
        <v>287</v>
      </c>
    </row>
    <row r="531" spans="1:3">
      <c r="A531" s="17" t="s">
        <v>15</v>
      </c>
      <c r="B531" s="17" t="s">
        <v>479</v>
      </c>
      <c r="C531" s="18" t="s">
        <v>446</v>
      </c>
    </row>
    <row r="532" spans="1:3">
      <c r="A532" s="17" t="s">
        <v>16</v>
      </c>
      <c r="B532" s="17" t="s">
        <v>480</v>
      </c>
      <c r="C532" s="18" t="s">
        <v>446</v>
      </c>
    </row>
    <row r="533" spans="1:3">
      <c r="A533" s="17" t="s">
        <v>471</v>
      </c>
      <c r="B533" s="17" t="s">
        <v>472</v>
      </c>
      <c r="C533" s="18" t="s">
        <v>446</v>
      </c>
    </row>
    <row r="534" spans="1:3">
      <c r="A534" s="17" t="s">
        <v>453</v>
      </c>
      <c r="B534" s="17" t="s">
        <v>454</v>
      </c>
      <c r="C534" s="18" t="s">
        <v>446</v>
      </c>
    </row>
    <row r="535" spans="1:3">
      <c r="A535" s="17" t="s">
        <v>455</v>
      </c>
      <c r="B535" s="17" t="s">
        <v>456</v>
      </c>
      <c r="C535" s="18" t="s">
        <v>446</v>
      </c>
    </row>
    <row r="536" spans="1:3">
      <c r="A536" s="17" t="s">
        <v>457</v>
      </c>
      <c r="B536" s="17" t="s">
        <v>458</v>
      </c>
      <c r="C536" s="18" t="s">
        <v>446</v>
      </c>
    </row>
    <row r="537" spans="1:3">
      <c r="A537" s="17" t="s">
        <v>459</v>
      </c>
      <c r="B537" s="17" t="s">
        <v>460</v>
      </c>
      <c r="C537" s="18" t="s">
        <v>446</v>
      </c>
    </row>
    <row r="538" spans="1:3">
      <c r="A538" s="17" t="s">
        <v>100</v>
      </c>
      <c r="B538" s="17" t="s">
        <v>462</v>
      </c>
      <c r="C538" s="18" t="s">
        <v>446</v>
      </c>
    </row>
    <row r="539" spans="1:3">
      <c r="A539" s="17" t="s">
        <v>463</v>
      </c>
      <c r="B539" s="17" t="s">
        <v>464</v>
      </c>
      <c r="C539" s="18" t="s">
        <v>446</v>
      </c>
    </row>
    <row r="540" spans="1:3">
      <c r="A540" s="17" t="s">
        <v>467</v>
      </c>
      <c r="B540" s="17" t="s">
        <v>468</v>
      </c>
      <c r="C540" s="18" t="s">
        <v>446</v>
      </c>
    </row>
    <row r="541" spans="1:3">
      <c r="A541" s="17" t="s">
        <v>465</v>
      </c>
      <c r="B541" s="17" t="s">
        <v>466</v>
      </c>
      <c r="C541" s="18" t="s">
        <v>446</v>
      </c>
    </row>
    <row r="542" spans="1:3">
      <c r="A542" s="17" t="s">
        <v>469</v>
      </c>
      <c r="B542" s="17" t="s">
        <v>470</v>
      </c>
      <c r="C542" s="18" t="s">
        <v>446</v>
      </c>
    </row>
    <row r="543" spans="1:3">
      <c r="A543" s="17" t="s">
        <v>81</v>
      </c>
      <c r="B543" s="17" t="s">
        <v>461</v>
      </c>
      <c r="C543" s="18" t="s">
        <v>446</v>
      </c>
    </row>
    <row r="544" spans="1:3">
      <c r="A544" s="17" t="s">
        <v>447</v>
      </c>
      <c r="B544" s="17" t="s">
        <v>448</v>
      </c>
      <c r="C544" s="18" t="s">
        <v>446</v>
      </c>
    </row>
    <row r="545" spans="1:3">
      <c r="A545" s="17" t="s">
        <v>444</v>
      </c>
      <c r="B545" s="17" t="s">
        <v>445</v>
      </c>
      <c r="C545" s="18" t="s">
        <v>446</v>
      </c>
    </row>
    <row r="546" spans="1:3">
      <c r="A546" s="17" t="s">
        <v>91</v>
      </c>
      <c r="B546" s="17" t="s">
        <v>435</v>
      </c>
      <c r="C546" s="18" t="s">
        <v>287</v>
      </c>
    </row>
    <row r="547" spans="1:3">
      <c r="A547" s="17" t="s">
        <v>438</v>
      </c>
      <c r="B547" s="17" t="s">
        <v>439</v>
      </c>
      <c r="C547" s="18" t="s">
        <v>287</v>
      </c>
    </row>
    <row r="548" spans="1:3">
      <c r="A548" s="17" t="s">
        <v>436</v>
      </c>
      <c r="B548" s="17" t="s">
        <v>437</v>
      </c>
      <c r="C548" s="18" t="s">
        <v>287</v>
      </c>
    </row>
    <row r="549" spans="1:3">
      <c r="A549" s="17" t="s">
        <v>440</v>
      </c>
      <c r="B549" s="17" t="s">
        <v>441</v>
      </c>
      <c r="C549" s="18" t="s">
        <v>287</v>
      </c>
    </row>
    <row r="550" spans="1:3">
      <c r="A550" s="17" t="s">
        <v>451</v>
      </c>
      <c r="B550" s="17" t="s">
        <v>452</v>
      </c>
      <c r="C550" s="18" t="s">
        <v>446</v>
      </c>
    </row>
    <row r="551" spans="1:3">
      <c r="A551" s="17" t="s">
        <v>449</v>
      </c>
      <c r="B551" s="17" t="s">
        <v>450</v>
      </c>
      <c r="C551" s="18" t="s">
        <v>446</v>
      </c>
    </row>
    <row r="552" spans="1:3">
      <c r="A552" s="17" t="s">
        <v>442</v>
      </c>
      <c r="B552" s="17" t="s">
        <v>443</v>
      </c>
      <c r="C552" s="18" t="s">
        <v>287</v>
      </c>
    </row>
    <row r="553" spans="1:3">
      <c r="A553" s="17" t="s">
        <v>54</v>
      </c>
      <c r="B553" s="17" t="s">
        <v>541</v>
      </c>
      <c r="C553" s="18" t="s">
        <v>446</v>
      </c>
    </row>
    <row r="554" spans="1:3">
      <c r="A554" s="17" t="s">
        <v>260</v>
      </c>
      <c r="B554" s="17" t="s">
        <v>539</v>
      </c>
      <c r="C554" s="18" t="s">
        <v>446</v>
      </c>
    </row>
    <row r="555" spans="1:3">
      <c r="A555" s="17" t="s">
        <v>259</v>
      </c>
      <c r="B555" s="17" t="s">
        <v>540</v>
      </c>
      <c r="C555" s="18" t="s">
        <v>446</v>
      </c>
    </row>
    <row r="556" spans="1:3">
      <c r="A556" s="17" t="s">
        <v>487</v>
      </c>
      <c r="B556" s="17" t="s">
        <v>488</v>
      </c>
      <c r="C556" s="18" t="s">
        <v>446</v>
      </c>
    </row>
    <row r="557" spans="1:3">
      <c r="A557" s="17" t="s">
        <v>481</v>
      </c>
      <c r="B557" s="17" t="s">
        <v>482</v>
      </c>
      <c r="C557" s="18" t="s">
        <v>446</v>
      </c>
    </row>
    <row r="558" spans="1:3">
      <c r="A558" s="17" t="s">
        <v>483</v>
      </c>
      <c r="B558" s="17" t="s">
        <v>484</v>
      </c>
      <c r="C558" s="18" t="s">
        <v>446</v>
      </c>
    </row>
    <row r="559" spans="1:3">
      <c r="A559" s="17" t="s">
        <v>485</v>
      </c>
      <c r="B559" s="17" t="s">
        <v>486</v>
      </c>
      <c r="C559" s="18" t="s">
        <v>446</v>
      </c>
    </row>
    <row r="560" spans="1:3">
      <c r="A560" s="17" t="s">
        <v>489</v>
      </c>
      <c r="B560" s="17" t="s">
        <v>490</v>
      </c>
      <c r="C560" s="18" t="s">
        <v>446</v>
      </c>
    </row>
    <row r="561" spans="1:3">
      <c r="A561" s="17" t="s">
        <v>491</v>
      </c>
      <c r="B561" s="17" t="s">
        <v>492</v>
      </c>
      <c r="C561" s="18" t="s">
        <v>446</v>
      </c>
    </row>
    <row r="562" spans="1:3">
      <c r="A562" s="17" t="s">
        <v>493</v>
      </c>
      <c r="B562" s="17" t="s">
        <v>494</v>
      </c>
      <c r="C562" s="18" t="s">
        <v>446</v>
      </c>
    </row>
    <row r="563" spans="1:3">
      <c r="A563" s="17" t="s">
        <v>238</v>
      </c>
      <c r="B563" s="17" t="s">
        <v>529</v>
      </c>
      <c r="C563" s="18" t="s">
        <v>446</v>
      </c>
    </row>
    <row r="564" spans="1:3">
      <c r="A564" s="17" t="s">
        <v>124</v>
      </c>
      <c r="B564" s="17" t="s">
        <v>535</v>
      </c>
      <c r="C564" s="18" t="s">
        <v>446</v>
      </c>
    </row>
    <row r="565" spans="1:3">
      <c r="A565" s="17" t="s">
        <v>82</v>
      </c>
      <c r="B565" s="17" t="s">
        <v>530</v>
      </c>
      <c r="C565" s="18" t="s">
        <v>446</v>
      </c>
    </row>
    <row r="566" spans="1:3">
      <c r="A566" s="17" t="s">
        <v>125</v>
      </c>
      <c r="B566" s="17" t="s">
        <v>536</v>
      </c>
      <c r="C566" s="18" t="s">
        <v>446</v>
      </c>
    </row>
    <row r="567" spans="1:3">
      <c r="A567" s="17" t="s">
        <v>121</v>
      </c>
      <c r="B567" s="17" t="s">
        <v>531</v>
      </c>
      <c r="C567" s="18" t="s">
        <v>446</v>
      </c>
    </row>
    <row r="568" spans="1:3">
      <c r="A568" s="17" t="s">
        <v>126</v>
      </c>
      <c r="B568" s="17" t="s">
        <v>537</v>
      </c>
      <c r="C568" s="18" t="s">
        <v>446</v>
      </c>
    </row>
    <row r="569" spans="1:3">
      <c r="A569" s="17" t="s">
        <v>33</v>
      </c>
      <c r="B569" s="17" t="s">
        <v>532</v>
      </c>
      <c r="C569" s="18" t="s">
        <v>446</v>
      </c>
    </row>
    <row r="570" spans="1:3">
      <c r="A570" s="17" t="s">
        <v>122</v>
      </c>
      <c r="B570" s="17" t="s">
        <v>533</v>
      </c>
      <c r="C570" s="18" t="s">
        <v>446</v>
      </c>
    </row>
    <row r="571" spans="1:3">
      <c r="A571" s="17" t="s">
        <v>83</v>
      </c>
      <c r="B571" s="17" t="s">
        <v>538</v>
      </c>
      <c r="C571" s="18" t="s">
        <v>446</v>
      </c>
    </row>
    <row r="572" spans="1:3">
      <c r="A572" s="17" t="s">
        <v>123</v>
      </c>
      <c r="B572" s="17" t="s">
        <v>534</v>
      </c>
      <c r="C572" s="18" t="s">
        <v>446</v>
      </c>
    </row>
    <row r="573" spans="1:3">
      <c r="A573" s="17" t="s">
        <v>495</v>
      </c>
      <c r="B573" s="17" t="s">
        <v>496</v>
      </c>
      <c r="C573" s="18" t="s">
        <v>446</v>
      </c>
    </row>
    <row r="574" spans="1:3">
      <c r="A574" s="17" t="s">
        <v>521</v>
      </c>
      <c r="B574" s="17" t="s">
        <v>522</v>
      </c>
      <c r="C574" s="18" t="s">
        <v>446</v>
      </c>
    </row>
    <row r="575" spans="1:3">
      <c r="A575" s="17" t="s">
        <v>523</v>
      </c>
      <c r="B575" s="17" t="s">
        <v>524</v>
      </c>
      <c r="C575" s="18" t="s">
        <v>446</v>
      </c>
    </row>
    <row r="576" spans="1:3">
      <c r="A576" s="17" t="s">
        <v>525</v>
      </c>
      <c r="B576" s="17" t="s">
        <v>526</v>
      </c>
      <c r="C576" s="18" t="s">
        <v>446</v>
      </c>
    </row>
    <row r="577" spans="1:3">
      <c r="A577" s="17" t="s">
        <v>527</v>
      </c>
      <c r="B577" s="17" t="s">
        <v>528</v>
      </c>
      <c r="C577" s="18" t="s">
        <v>446</v>
      </c>
    </row>
    <row r="578" spans="1:3">
      <c r="A578" s="17" t="s">
        <v>39</v>
      </c>
      <c r="B578" s="17" t="s">
        <v>2014</v>
      </c>
      <c r="C578" s="18" t="s">
        <v>287</v>
      </c>
    </row>
    <row r="579" spans="1:3">
      <c r="A579" s="17" t="s">
        <v>723</v>
      </c>
      <c r="B579" s="17" t="s">
        <v>724</v>
      </c>
      <c r="C579" s="18" t="s">
        <v>287</v>
      </c>
    </row>
    <row r="580" spans="1:3">
      <c r="A580" s="17" t="s">
        <v>975</v>
      </c>
      <c r="B580" s="17" t="s">
        <v>976</v>
      </c>
      <c r="C580" s="18" t="s">
        <v>287</v>
      </c>
    </row>
    <row r="581" spans="1:3">
      <c r="A581" s="17" t="s">
        <v>40</v>
      </c>
      <c r="B581" s="17" t="s">
        <v>520</v>
      </c>
      <c r="C581" s="18" t="s">
        <v>446</v>
      </c>
    </row>
    <row r="582" spans="1:3">
      <c r="A582" s="17" t="s">
        <v>431</v>
      </c>
      <c r="B582" s="17" t="s">
        <v>432</v>
      </c>
      <c r="C582" s="18" t="s">
        <v>287</v>
      </c>
    </row>
    <row r="583" spans="1:3">
      <c r="A583" s="17" t="s">
        <v>433</v>
      </c>
      <c r="B583" s="17" t="s">
        <v>434</v>
      </c>
      <c r="C583" s="18" t="s">
        <v>287</v>
      </c>
    </row>
    <row r="584" spans="1:3">
      <c r="A584" s="17" t="s">
        <v>405</v>
      </c>
      <c r="B584" s="17" t="s">
        <v>406</v>
      </c>
      <c r="C584" s="18" t="s">
        <v>287</v>
      </c>
    </row>
    <row r="585" spans="1:3">
      <c r="A585" s="17" t="s">
        <v>401</v>
      </c>
      <c r="B585" s="17" t="s">
        <v>402</v>
      </c>
      <c r="C585" s="18" t="s">
        <v>287</v>
      </c>
    </row>
    <row r="586" spans="1:3">
      <c r="A586" s="17" t="s">
        <v>403</v>
      </c>
      <c r="B586" s="17" t="s">
        <v>404</v>
      </c>
      <c r="C586" s="18" t="s">
        <v>287</v>
      </c>
    </row>
    <row r="587" spans="1:3">
      <c r="A587" s="17" t="s">
        <v>407</v>
      </c>
      <c r="B587" s="17" t="s">
        <v>408</v>
      </c>
      <c r="C587" s="18" t="s">
        <v>287</v>
      </c>
    </row>
    <row r="588" spans="1:3">
      <c r="A588" s="17" t="s">
        <v>503</v>
      </c>
      <c r="B588" s="17" t="s">
        <v>504</v>
      </c>
      <c r="C588" s="18" t="s">
        <v>446</v>
      </c>
    </row>
    <row r="589" spans="1:3">
      <c r="A589" s="17" t="s">
        <v>2011</v>
      </c>
      <c r="B589" s="17" t="s">
        <v>2012</v>
      </c>
      <c r="C589" s="18" t="s">
        <v>287</v>
      </c>
    </row>
    <row r="590" spans="1:3">
      <c r="A590" s="17" t="s">
        <v>719</v>
      </c>
      <c r="B590" s="17" t="s">
        <v>720</v>
      </c>
      <c r="C590" s="18" t="s">
        <v>287</v>
      </c>
    </row>
    <row r="591" spans="1:3">
      <c r="A591" s="17" t="s">
        <v>971</v>
      </c>
      <c r="B591" s="17" t="s">
        <v>972</v>
      </c>
      <c r="C591" s="18" t="s">
        <v>287</v>
      </c>
    </row>
    <row r="592" spans="1:3">
      <c r="A592" s="17" t="s">
        <v>2007</v>
      </c>
      <c r="B592" s="17" t="s">
        <v>2008</v>
      </c>
      <c r="C592" s="18" t="s">
        <v>287</v>
      </c>
    </row>
    <row r="593" spans="1:3">
      <c r="A593" s="17" t="s">
        <v>715</v>
      </c>
      <c r="B593" s="17" t="s">
        <v>716</v>
      </c>
      <c r="C593" s="18" t="s">
        <v>287</v>
      </c>
    </row>
    <row r="594" spans="1:3">
      <c r="A594" s="17" t="s">
        <v>967</v>
      </c>
      <c r="B594" s="17" t="s">
        <v>968</v>
      </c>
      <c r="C594" s="18" t="s">
        <v>287</v>
      </c>
    </row>
    <row r="595" spans="1:3">
      <c r="A595" s="17" t="s">
        <v>2009</v>
      </c>
      <c r="B595" s="17" t="s">
        <v>2010</v>
      </c>
      <c r="C595" s="18" t="s">
        <v>287</v>
      </c>
    </row>
    <row r="596" spans="1:3">
      <c r="A596" s="17" t="s">
        <v>717</v>
      </c>
      <c r="B596" s="17" t="s">
        <v>718</v>
      </c>
      <c r="C596" s="18" t="s">
        <v>287</v>
      </c>
    </row>
    <row r="597" spans="1:3">
      <c r="A597" s="17" t="s">
        <v>969</v>
      </c>
      <c r="B597" s="17" t="s">
        <v>970</v>
      </c>
      <c r="C597" s="18" t="s">
        <v>287</v>
      </c>
    </row>
    <row r="598" spans="1:3">
      <c r="A598" s="17" t="s">
        <v>42</v>
      </c>
      <c r="B598" s="17" t="s">
        <v>519</v>
      </c>
      <c r="C598" s="18" t="s">
        <v>446</v>
      </c>
    </row>
    <row r="599" spans="1:3">
      <c r="A599" s="17" t="s">
        <v>517</v>
      </c>
      <c r="B599" s="17" t="s">
        <v>518</v>
      </c>
      <c r="C599" s="18" t="s">
        <v>446</v>
      </c>
    </row>
    <row r="600" spans="1:3">
      <c r="A600" s="17" t="s">
        <v>513</v>
      </c>
      <c r="B600" s="17" t="s">
        <v>514</v>
      </c>
      <c r="C600" s="18" t="s">
        <v>446</v>
      </c>
    </row>
    <row r="601" spans="1:3">
      <c r="A601" s="17" t="s">
        <v>505</v>
      </c>
      <c r="B601" s="17" t="s">
        <v>506</v>
      </c>
      <c r="C601" s="18" t="s">
        <v>446</v>
      </c>
    </row>
    <row r="602" spans="1:3">
      <c r="A602" s="17" t="s">
        <v>509</v>
      </c>
      <c r="B602" s="17" t="s">
        <v>510</v>
      </c>
      <c r="C602" s="18" t="s">
        <v>446</v>
      </c>
    </row>
    <row r="603" spans="1:3">
      <c r="A603" s="17" t="s">
        <v>507</v>
      </c>
      <c r="B603" s="17" t="s">
        <v>508</v>
      </c>
      <c r="C603" s="18" t="s">
        <v>446</v>
      </c>
    </row>
    <row r="604" spans="1:3">
      <c r="A604" s="17" t="s">
        <v>511</v>
      </c>
      <c r="B604" s="17" t="s">
        <v>512</v>
      </c>
      <c r="C604" s="18" t="s">
        <v>446</v>
      </c>
    </row>
    <row r="605" spans="1:3">
      <c r="A605" s="17" t="s">
        <v>515</v>
      </c>
      <c r="B605" s="17" t="s">
        <v>516</v>
      </c>
      <c r="C605" s="18" t="s">
        <v>446</v>
      </c>
    </row>
    <row r="606" spans="1:3">
      <c r="A606" s="17" t="s">
        <v>497</v>
      </c>
      <c r="B606" s="17" t="s">
        <v>498</v>
      </c>
      <c r="C606" s="18" t="s">
        <v>446</v>
      </c>
    </row>
    <row r="607" spans="1:3">
      <c r="A607" s="17" t="s">
        <v>499</v>
      </c>
      <c r="B607" s="17" t="s">
        <v>500</v>
      </c>
      <c r="C607" s="18" t="s">
        <v>446</v>
      </c>
    </row>
    <row r="608" spans="1:3">
      <c r="A608" s="17" t="s">
        <v>105</v>
      </c>
      <c r="B608" s="17" t="s">
        <v>501</v>
      </c>
      <c r="C608" s="18" t="s">
        <v>446</v>
      </c>
    </row>
    <row r="609" spans="1:3">
      <c r="A609" s="17" t="s">
        <v>106</v>
      </c>
      <c r="B609" s="17" t="s">
        <v>502</v>
      </c>
      <c r="C609" s="18" t="s">
        <v>446</v>
      </c>
    </row>
    <row r="610" spans="1:3">
      <c r="A610" s="17" t="s">
        <v>1443</v>
      </c>
      <c r="B610" s="17" t="s">
        <v>1444</v>
      </c>
      <c r="C610" s="18" t="s">
        <v>287</v>
      </c>
    </row>
    <row r="611" spans="1:3">
      <c r="A611" s="17" t="s">
        <v>1445</v>
      </c>
      <c r="B611" s="17" t="s">
        <v>1446</v>
      </c>
      <c r="C611" s="18" t="s">
        <v>287</v>
      </c>
    </row>
    <row r="612" spans="1:3">
      <c r="A612" s="17" t="s">
        <v>1447</v>
      </c>
      <c r="B612" s="17" t="s">
        <v>1448</v>
      </c>
      <c r="C612" s="18" t="s">
        <v>287</v>
      </c>
    </row>
    <row r="613" spans="1:3">
      <c r="A613" s="17" t="s">
        <v>1449</v>
      </c>
      <c r="B613" s="17" t="s">
        <v>1450</v>
      </c>
      <c r="C613" s="18" t="s">
        <v>287</v>
      </c>
    </row>
    <row r="614" spans="1:3">
      <c r="A614" s="17" t="s">
        <v>1459</v>
      </c>
      <c r="B614" s="17" t="s">
        <v>1460</v>
      </c>
      <c r="C614" s="18" t="s">
        <v>287</v>
      </c>
    </row>
    <row r="615" spans="1:3">
      <c r="A615" s="17" t="s">
        <v>1453</v>
      </c>
      <c r="B615" s="17" t="s">
        <v>1454</v>
      </c>
      <c r="C615" s="18" t="s">
        <v>287</v>
      </c>
    </row>
    <row r="616" spans="1:3">
      <c r="A616" s="17" t="s">
        <v>1455</v>
      </c>
      <c r="B616" s="17" t="s">
        <v>1456</v>
      </c>
      <c r="C616" s="18" t="s">
        <v>287</v>
      </c>
    </row>
    <row r="617" spans="1:3">
      <c r="A617" s="17" t="s">
        <v>1457</v>
      </c>
      <c r="B617" s="17" t="s">
        <v>1458</v>
      </c>
      <c r="C617" s="18" t="s">
        <v>287</v>
      </c>
    </row>
    <row r="618" spans="1:3">
      <c r="A618" s="17" t="s">
        <v>1451</v>
      </c>
      <c r="B618" s="17" t="s">
        <v>1452</v>
      </c>
      <c r="C618" s="18" t="s">
        <v>287</v>
      </c>
    </row>
    <row r="619" spans="1:3">
      <c r="A619" s="17" t="s">
        <v>1461</v>
      </c>
      <c r="B619" s="17" t="s">
        <v>1462</v>
      </c>
      <c r="C619" s="18" t="s">
        <v>287</v>
      </c>
    </row>
    <row r="620" spans="1:3">
      <c r="A620" s="17" t="s">
        <v>1463</v>
      </c>
      <c r="B620" s="17" t="s">
        <v>1464</v>
      </c>
      <c r="C620" s="18" t="s">
        <v>287</v>
      </c>
    </row>
    <row r="621" spans="1:3">
      <c r="A621" s="17" t="s">
        <v>1465</v>
      </c>
      <c r="B621" s="17" t="s">
        <v>1466</v>
      </c>
      <c r="C621" s="18" t="s">
        <v>287</v>
      </c>
    </row>
    <row r="622" spans="1:3">
      <c r="A622" s="17" t="s">
        <v>1467</v>
      </c>
      <c r="B622" s="17" t="s">
        <v>1468</v>
      </c>
      <c r="C622" s="18" t="s">
        <v>287</v>
      </c>
    </row>
    <row r="623" spans="1:3">
      <c r="A623" s="17" t="s">
        <v>1469</v>
      </c>
      <c r="B623" s="17" t="s">
        <v>1470</v>
      </c>
      <c r="C623" s="18" t="s">
        <v>287</v>
      </c>
    </row>
    <row r="624" spans="1:3">
      <c r="A624" s="17" t="s">
        <v>350</v>
      </c>
      <c r="B624" s="17" t="s">
        <v>351</v>
      </c>
      <c r="C624" s="18" t="s">
        <v>287</v>
      </c>
    </row>
    <row r="625" spans="1:3">
      <c r="A625" s="17" t="s">
        <v>368</v>
      </c>
      <c r="B625" s="17" t="s">
        <v>369</v>
      </c>
      <c r="C625" s="18" t="s">
        <v>287</v>
      </c>
    </row>
    <row r="626" spans="1:3">
      <c r="A626" s="17" t="s">
        <v>370</v>
      </c>
      <c r="B626" s="17" t="s">
        <v>371</v>
      </c>
      <c r="C626" s="18" t="s">
        <v>287</v>
      </c>
    </row>
    <row r="627" spans="1:3">
      <c r="A627" s="17" t="s">
        <v>362</v>
      </c>
      <c r="B627" s="17" t="s">
        <v>363</v>
      </c>
      <c r="C627" s="18" t="s">
        <v>287</v>
      </c>
    </row>
    <row r="628" spans="1:3">
      <c r="A628" s="17" t="s">
        <v>372</v>
      </c>
      <c r="B628" s="17" t="s">
        <v>373</v>
      </c>
      <c r="C628" s="18" t="s">
        <v>287</v>
      </c>
    </row>
    <row r="629" spans="1:3">
      <c r="A629" s="17" t="s">
        <v>374</v>
      </c>
      <c r="B629" s="17" t="s">
        <v>375</v>
      </c>
      <c r="C629" s="18" t="s">
        <v>287</v>
      </c>
    </row>
    <row r="630" spans="1:3">
      <c r="A630" s="17" t="s">
        <v>364</v>
      </c>
      <c r="B630" s="17" t="s">
        <v>365</v>
      </c>
      <c r="C630" s="18" t="s">
        <v>287</v>
      </c>
    </row>
    <row r="631" spans="1:3">
      <c r="A631" s="17" t="s">
        <v>376</v>
      </c>
      <c r="B631" s="17" t="s">
        <v>377</v>
      </c>
      <c r="C631" s="18" t="s">
        <v>287</v>
      </c>
    </row>
    <row r="632" spans="1:3">
      <c r="A632" s="17" t="s">
        <v>366</v>
      </c>
      <c r="B632" s="17" t="s">
        <v>367</v>
      </c>
      <c r="C632" s="18" t="s">
        <v>287</v>
      </c>
    </row>
    <row r="633" spans="1:3">
      <c r="A633" s="17" t="s">
        <v>390</v>
      </c>
      <c r="B633" s="17" t="s">
        <v>391</v>
      </c>
      <c r="C633" s="18" t="s">
        <v>287</v>
      </c>
    </row>
    <row r="634" spans="1:3">
      <c r="A634" s="17" t="s">
        <v>380</v>
      </c>
      <c r="B634" s="17" t="s">
        <v>381</v>
      </c>
      <c r="C634" s="18" t="s">
        <v>287</v>
      </c>
    </row>
    <row r="635" spans="1:3">
      <c r="A635" s="17" t="s">
        <v>382</v>
      </c>
      <c r="B635" s="17" t="s">
        <v>383</v>
      </c>
      <c r="C635" s="18" t="s">
        <v>287</v>
      </c>
    </row>
    <row r="636" spans="1:3">
      <c r="A636" s="17" t="s">
        <v>384</v>
      </c>
      <c r="B636" s="17" t="s">
        <v>385</v>
      </c>
      <c r="C636" s="18" t="s">
        <v>287</v>
      </c>
    </row>
    <row r="637" spans="1:3">
      <c r="A637" s="17" t="s">
        <v>386</v>
      </c>
      <c r="B637" s="17" t="s">
        <v>387</v>
      </c>
      <c r="C637" s="18" t="s">
        <v>287</v>
      </c>
    </row>
    <row r="638" spans="1:3">
      <c r="A638" s="17" t="s">
        <v>388</v>
      </c>
      <c r="B638" s="17" t="s">
        <v>389</v>
      </c>
      <c r="C638" s="18" t="s">
        <v>287</v>
      </c>
    </row>
    <row r="639" spans="1:3">
      <c r="A639" s="17" t="s">
        <v>378</v>
      </c>
      <c r="B639" s="17" t="s">
        <v>379</v>
      </c>
      <c r="C639" s="18" t="s">
        <v>287</v>
      </c>
    </row>
    <row r="640" spans="1:3">
      <c r="A640" s="17" t="s">
        <v>1223</v>
      </c>
      <c r="B640" s="17" t="s">
        <v>1224</v>
      </c>
      <c r="C640" s="18" t="s">
        <v>287</v>
      </c>
    </row>
    <row r="641" spans="1:3">
      <c r="A641" s="17" t="s">
        <v>1333</v>
      </c>
      <c r="B641" s="17" t="s">
        <v>1334</v>
      </c>
      <c r="C641" s="18" t="s">
        <v>287</v>
      </c>
    </row>
    <row r="642" spans="1:3">
      <c r="A642" s="17" t="s">
        <v>1471</v>
      </c>
      <c r="B642" s="17" t="s">
        <v>1472</v>
      </c>
      <c r="C642" s="18" t="s">
        <v>287</v>
      </c>
    </row>
    <row r="643" spans="1:3">
      <c r="A643" s="17" t="s">
        <v>1473</v>
      </c>
      <c r="B643" s="17" t="s">
        <v>1474</v>
      </c>
      <c r="C643" s="18" t="s">
        <v>287</v>
      </c>
    </row>
    <row r="644" spans="1:3">
      <c r="A644" s="17" t="s">
        <v>1475</v>
      </c>
      <c r="B644" s="17" t="s">
        <v>1476</v>
      </c>
      <c r="C644" s="18" t="s">
        <v>287</v>
      </c>
    </row>
    <row r="645" spans="1:3">
      <c r="A645" s="17" t="s">
        <v>1477</v>
      </c>
      <c r="B645" s="17" t="s">
        <v>1478</v>
      </c>
      <c r="C645" s="18" t="s">
        <v>287</v>
      </c>
    </row>
    <row r="646" spans="1:3">
      <c r="A646" s="17" t="s">
        <v>1479</v>
      </c>
      <c r="B646" s="17" t="s">
        <v>1480</v>
      </c>
      <c r="C646" s="18" t="s">
        <v>287</v>
      </c>
    </row>
    <row r="647" spans="1:3">
      <c r="A647" s="17" t="s">
        <v>1225</v>
      </c>
      <c r="B647" s="17" t="s">
        <v>1226</v>
      </c>
      <c r="C647" s="18" t="s">
        <v>287</v>
      </c>
    </row>
    <row r="648" spans="1:3">
      <c r="A648" s="17" t="s">
        <v>1335</v>
      </c>
      <c r="B648" s="17" t="s">
        <v>1336</v>
      </c>
      <c r="C648" s="18" t="s">
        <v>287</v>
      </c>
    </row>
    <row r="649" spans="1:3">
      <c r="A649" s="17" t="s">
        <v>1227</v>
      </c>
      <c r="B649" s="17" t="s">
        <v>1228</v>
      </c>
      <c r="C649" s="18" t="s">
        <v>287</v>
      </c>
    </row>
    <row r="650" spans="1:3">
      <c r="A650" s="17" t="s">
        <v>1337</v>
      </c>
      <c r="B650" s="17" t="s">
        <v>1338</v>
      </c>
      <c r="C650" s="18" t="s">
        <v>287</v>
      </c>
    </row>
    <row r="651" spans="1:3">
      <c r="A651" s="17" t="s">
        <v>1483</v>
      </c>
      <c r="B651" s="17" t="s">
        <v>1484</v>
      </c>
      <c r="C651" s="18" t="s">
        <v>287</v>
      </c>
    </row>
    <row r="652" spans="1:3">
      <c r="A652" s="17" t="s">
        <v>1481</v>
      </c>
      <c r="B652" s="17" t="s">
        <v>1482</v>
      </c>
      <c r="C652" s="18" t="s">
        <v>287</v>
      </c>
    </row>
    <row r="653" spans="1:3">
      <c r="A653" s="17" t="s">
        <v>1485</v>
      </c>
      <c r="B653" s="17" t="s">
        <v>1486</v>
      </c>
      <c r="C653" s="18" t="s">
        <v>287</v>
      </c>
    </row>
    <row r="654" spans="1:3">
      <c r="A654" s="17" t="s">
        <v>1487</v>
      </c>
      <c r="B654" s="17" t="s">
        <v>1488</v>
      </c>
      <c r="C654" s="18" t="s">
        <v>287</v>
      </c>
    </row>
    <row r="655" spans="1:3">
      <c r="A655" s="17" t="s">
        <v>1489</v>
      </c>
      <c r="B655" s="17" t="s">
        <v>1490</v>
      </c>
      <c r="C655" s="18" t="s">
        <v>287</v>
      </c>
    </row>
    <row r="656" spans="1:3">
      <c r="A656" s="17" t="s">
        <v>1491</v>
      </c>
      <c r="B656" s="17" t="s">
        <v>1492</v>
      </c>
      <c r="C656" s="18" t="s">
        <v>287</v>
      </c>
    </row>
    <row r="657" spans="1:3">
      <c r="A657" s="17" t="s">
        <v>1493</v>
      </c>
      <c r="B657" s="17" t="s">
        <v>1494</v>
      </c>
      <c r="C657" s="18" t="s">
        <v>287</v>
      </c>
    </row>
    <row r="658" spans="1:3">
      <c r="A658" s="17" t="s">
        <v>1495</v>
      </c>
      <c r="B658" s="17" t="s">
        <v>1496</v>
      </c>
      <c r="C658" s="18" t="s">
        <v>287</v>
      </c>
    </row>
    <row r="659" spans="1:3">
      <c r="A659" s="17" t="s">
        <v>1497</v>
      </c>
      <c r="B659" s="17" t="s">
        <v>1498</v>
      </c>
      <c r="C659" s="18" t="s">
        <v>287</v>
      </c>
    </row>
    <row r="660" spans="1:3">
      <c r="A660" s="17" t="s">
        <v>46</v>
      </c>
      <c r="B660" s="17" t="s">
        <v>1499</v>
      </c>
      <c r="C660" s="18" t="s">
        <v>287</v>
      </c>
    </row>
    <row r="661" spans="1:3">
      <c r="A661" s="17" t="s">
        <v>1500</v>
      </c>
      <c r="B661" s="17" t="s">
        <v>1501</v>
      </c>
      <c r="C661" s="18" t="s">
        <v>287</v>
      </c>
    </row>
    <row r="662" spans="1:3">
      <c r="A662" s="17" t="s">
        <v>1502</v>
      </c>
      <c r="B662" s="17" t="s">
        <v>1503</v>
      </c>
      <c r="C662" s="18" t="s">
        <v>287</v>
      </c>
    </row>
    <row r="663" spans="1:3">
      <c r="A663" s="17" t="s">
        <v>1229</v>
      </c>
      <c r="B663" s="17" t="s">
        <v>1230</v>
      </c>
      <c r="C663" s="18" t="s">
        <v>287</v>
      </c>
    </row>
    <row r="664" spans="1:3">
      <c r="A664" s="17" t="s">
        <v>1339</v>
      </c>
      <c r="B664" s="17" t="s">
        <v>1340</v>
      </c>
      <c r="C664" s="18" t="s">
        <v>287</v>
      </c>
    </row>
    <row r="665" spans="1:3">
      <c r="A665" s="17" t="s">
        <v>326</v>
      </c>
      <c r="B665" s="17" t="s">
        <v>327</v>
      </c>
      <c r="C665" s="18" t="s">
        <v>287</v>
      </c>
    </row>
    <row r="666" spans="1:3">
      <c r="A666" s="17" t="s">
        <v>1514</v>
      </c>
      <c r="B666" s="17" t="s">
        <v>1515</v>
      </c>
      <c r="C666" s="18" t="s">
        <v>287</v>
      </c>
    </row>
    <row r="667" spans="1:3">
      <c r="A667" s="17" t="s">
        <v>1504</v>
      </c>
      <c r="B667" s="17" t="s">
        <v>1505</v>
      </c>
      <c r="C667" s="18" t="s">
        <v>287</v>
      </c>
    </row>
    <row r="668" spans="1:3">
      <c r="A668" s="17" t="s">
        <v>1231</v>
      </c>
      <c r="B668" s="17" t="s">
        <v>1232</v>
      </c>
      <c r="C668" s="18" t="s">
        <v>287</v>
      </c>
    </row>
    <row r="669" spans="1:3">
      <c r="A669" s="17" t="s">
        <v>1341</v>
      </c>
      <c r="B669" s="17" t="s">
        <v>1342</v>
      </c>
      <c r="C669" s="18" t="s">
        <v>287</v>
      </c>
    </row>
    <row r="670" spans="1:3">
      <c r="A670" s="17" t="s">
        <v>1233</v>
      </c>
      <c r="B670" s="17" t="s">
        <v>1234</v>
      </c>
      <c r="C670" s="18" t="s">
        <v>287</v>
      </c>
    </row>
    <row r="671" spans="1:3">
      <c r="A671" s="17" t="s">
        <v>1343</v>
      </c>
      <c r="B671" s="17" t="s">
        <v>1344</v>
      </c>
      <c r="C671" s="18" t="s">
        <v>287</v>
      </c>
    </row>
    <row r="672" spans="1:3">
      <c r="A672" s="17" t="s">
        <v>314</v>
      </c>
      <c r="B672" s="17" t="s">
        <v>315</v>
      </c>
      <c r="C672" s="18" t="s">
        <v>287</v>
      </c>
    </row>
    <row r="673" spans="1:3">
      <c r="A673" s="17" t="s">
        <v>328</v>
      </c>
      <c r="B673" s="17" t="s">
        <v>329</v>
      </c>
      <c r="C673" s="18" t="s">
        <v>287</v>
      </c>
    </row>
    <row r="674" spans="1:3">
      <c r="A674" s="17" t="s">
        <v>1506</v>
      </c>
      <c r="B674" s="17" t="s">
        <v>1507</v>
      </c>
      <c r="C674" s="18" t="s">
        <v>287</v>
      </c>
    </row>
    <row r="675" spans="1:3">
      <c r="A675" s="17" t="s">
        <v>1508</v>
      </c>
      <c r="B675" s="17" t="s">
        <v>1509</v>
      </c>
      <c r="C675" s="18" t="s">
        <v>287</v>
      </c>
    </row>
    <row r="676" spans="1:3">
      <c r="A676" s="17" t="s">
        <v>1510</v>
      </c>
      <c r="B676" s="17" t="s">
        <v>1511</v>
      </c>
      <c r="C676" s="18" t="s">
        <v>287</v>
      </c>
    </row>
    <row r="677" spans="1:3">
      <c r="A677" s="17" t="s">
        <v>1512</v>
      </c>
      <c r="B677" s="17" t="s">
        <v>1513</v>
      </c>
      <c r="C677" s="18" t="s">
        <v>287</v>
      </c>
    </row>
    <row r="678" spans="1:3">
      <c r="A678" s="17" t="s">
        <v>1516</v>
      </c>
      <c r="B678" s="17" t="s">
        <v>1517</v>
      </c>
      <c r="C678" s="18" t="s">
        <v>287</v>
      </c>
    </row>
    <row r="679" spans="1:3">
      <c r="A679" s="17" t="s">
        <v>316</v>
      </c>
      <c r="B679" s="17" t="s">
        <v>317</v>
      </c>
      <c r="C679" s="18" t="s">
        <v>287</v>
      </c>
    </row>
    <row r="680" spans="1:3">
      <c r="A680" s="17" t="s">
        <v>1518</v>
      </c>
      <c r="B680" s="17" t="s">
        <v>1519</v>
      </c>
      <c r="C680" s="18" t="s">
        <v>287</v>
      </c>
    </row>
    <row r="681" spans="1:3">
      <c r="A681" s="17" t="s">
        <v>1520</v>
      </c>
      <c r="B681" s="17" t="s">
        <v>1521</v>
      </c>
      <c r="C681" s="18" t="s">
        <v>287</v>
      </c>
    </row>
    <row r="682" spans="1:3">
      <c r="A682" s="17" t="s">
        <v>1522</v>
      </c>
      <c r="B682" s="17" t="s">
        <v>1523</v>
      </c>
      <c r="C682" s="18" t="s">
        <v>287</v>
      </c>
    </row>
    <row r="683" spans="1:3">
      <c r="A683" s="17" t="s">
        <v>1524</v>
      </c>
      <c r="B683" s="17" t="s">
        <v>1525</v>
      </c>
      <c r="C683" s="18" t="s">
        <v>287</v>
      </c>
    </row>
    <row r="684" spans="1:3">
      <c r="A684" s="17" t="s">
        <v>1526</v>
      </c>
      <c r="B684" s="17" t="s">
        <v>1527</v>
      </c>
      <c r="C684" s="18" t="s">
        <v>287</v>
      </c>
    </row>
    <row r="685" spans="1:3">
      <c r="A685" s="17" t="s">
        <v>1235</v>
      </c>
      <c r="B685" s="17" t="s">
        <v>1236</v>
      </c>
      <c r="C685" s="18" t="s">
        <v>287</v>
      </c>
    </row>
    <row r="686" spans="1:3">
      <c r="A686" s="17" t="s">
        <v>1345</v>
      </c>
      <c r="B686" s="17" t="s">
        <v>1346</v>
      </c>
      <c r="C686" s="18" t="s">
        <v>287</v>
      </c>
    </row>
    <row r="687" spans="1:3">
      <c r="A687" s="17" t="s">
        <v>1237</v>
      </c>
      <c r="B687" s="17" t="s">
        <v>1238</v>
      </c>
      <c r="C687" s="18" t="s">
        <v>287</v>
      </c>
    </row>
    <row r="688" spans="1:3">
      <c r="A688" s="17" t="s">
        <v>1347</v>
      </c>
      <c r="B688" s="17" t="s">
        <v>1348</v>
      </c>
      <c r="C688" s="18" t="s">
        <v>287</v>
      </c>
    </row>
    <row r="689" spans="1:3">
      <c r="A689" s="17" t="s">
        <v>330</v>
      </c>
      <c r="B689" s="17" t="s">
        <v>331</v>
      </c>
      <c r="C689" s="18" t="s">
        <v>287</v>
      </c>
    </row>
    <row r="690" spans="1:3">
      <c r="A690" s="17" t="s">
        <v>1528</v>
      </c>
      <c r="B690" s="17" t="s">
        <v>1529</v>
      </c>
      <c r="C690" s="18" t="s">
        <v>287</v>
      </c>
    </row>
    <row r="691" spans="1:3">
      <c r="A691" s="17" t="s">
        <v>1530</v>
      </c>
      <c r="B691" s="17" t="s">
        <v>1531</v>
      </c>
      <c r="C691" s="18" t="s">
        <v>287</v>
      </c>
    </row>
    <row r="692" spans="1:3">
      <c r="A692" s="17" t="s">
        <v>1532</v>
      </c>
      <c r="B692" s="17" t="s">
        <v>1533</v>
      </c>
      <c r="C692" s="18" t="s">
        <v>287</v>
      </c>
    </row>
    <row r="693" spans="1:3">
      <c r="A693" s="17" t="s">
        <v>1534</v>
      </c>
      <c r="B693" s="17" t="s">
        <v>1535</v>
      </c>
      <c r="C693" s="18" t="s">
        <v>287</v>
      </c>
    </row>
    <row r="694" spans="1:3">
      <c r="A694" s="17" t="s">
        <v>1536</v>
      </c>
      <c r="B694" s="17" t="s">
        <v>1537</v>
      </c>
      <c r="C694" s="18" t="s">
        <v>287</v>
      </c>
    </row>
    <row r="695" spans="1:3">
      <c r="A695" s="17" t="s">
        <v>1239</v>
      </c>
      <c r="B695" s="17" t="s">
        <v>1240</v>
      </c>
      <c r="C695" s="18" t="s">
        <v>287</v>
      </c>
    </row>
    <row r="696" spans="1:3">
      <c r="A696" s="17" t="s">
        <v>1349</v>
      </c>
      <c r="B696" s="17" t="s">
        <v>1350</v>
      </c>
      <c r="C696" s="18" t="s">
        <v>287</v>
      </c>
    </row>
    <row r="697" spans="1:3">
      <c r="A697" s="17" t="s">
        <v>1241</v>
      </c>
      <c r="B697" s="17" t="s">
        <v>1242</v>
      </c>
      <c r="C697" s="18" t="s">
        <v>287</v>
      </c>
    </row>
    <row r="698" spans="1:3">
      <c r="A698" s="17" t="s">
        <v>1351</v>
      </c>
      <c r="B698" s="17" t="s">
        <v>1352</v>
      </c>
      <c r="C698" s="18" t="s">
        <v>287</v>
      </c>
    </row>
    <row r="699" spans="1:3">
      <c r="A699" s="17" t="s">
        <v>1538</v>
      </c>
      <c r="B699" s="17" t="s">
        <v>1539</v>
      </c>
      <c r="C699" s="18" t="s">
        <v>287</v>
      </c>
    </row>
    <row r="700" spans="1:3">
      <c r="A700" s="17" t="s">
        <v>1540</v>
      </c>
      <c r="B700" s="17" t="s">
        <v>1541</v>
      </c>
      <c r="C700" s="18" t="s">
        <v>287</v>
      </c>
    </row>
    <row r="701" spans="1:3">
      <c r="A701" s="17" t="s">
        <v>1542</v>
      </c>
      <c r="B701" s="17" t="s">
        <v>1543</v>
      </c>
      <c r="C701" s="18" t="s">
        <v>287</v>
      </c>
    </row>
    <row r="702" spans="1:3">
      <c r="A702" s="17" t="s">
        <v>1544</v>
      </c>
      <c r="B702" s="17" t="s">
        <v>1545</v>
      </c>
      <c r="C702" s="18" t="s">
        <v>287</v>
      </c>
    </row>
    <row r="703" spans="1:3">
      <c r="A703" s="17" t="s">
        <v>1546</v>
      </c>
      <c r="B703" s="17" t="s">
        <v>1547</v>
      </c>
      <c r="C703" s="18" t="s">
        <v>287</v>
      </c>
    </row>
    <row r="704" spans="1:3">
      <c r="A704" s="17" t="s">
        <v>1548</v>
      </c>
      <c r="B704" s="17" t="s">
        <v>1549</v>
      </c>
      <c r="C704" s="18" t="s">
        <v>287</v>
      </c>
    </row>
    <row r="705" spans="1:3">
      <c r="A705" s="17" t="s">
        <v>1550</v>
      </c>
      <c r="B705" s="17" t="s">
        <v>1551</v>
      </c>
      <c r="C705" s="18" t="s">
        <v>287</v>
      </c>
    </row>
    <row r="706" spans="1:3">
      <c r="A706" s="17" t="s">
        <v>1243</v>
      </c>
      <c r="B706" s="17" t="s">
        <v>1244</v>
      </c>
      <c r="C706" s="18" t="s">
        <v>287</v>
      </c>
    </row>
    <row r="707" spans="1:3">
      <c r="A707" s="17" t="s">
        <v>1353</v>
      </c>
      <c r="B707" s="17" t="s">
        <v>1354</v>
      </c>
      <c r="C707" s="18" t="s">
        <v>287</v>
      </c>
    </row>
    <row r="708" spans="1:3">
      <c r="A708" s="17" t="s">
        <v>1552</v>
      </c>
      <c r="B708" s="17" t="s">
        <v>1553</v>
      </c>
      <c r="C708" s="18" t="s">
        <v>287</v>
      </c>
    </row>
    <row r="709" spans="1:3">
      <c r="A709" s="17" t="s">
        <v>1554</v>
      </c>
      <c r="B709" s="17" t="s">
        <v>1555</v>
      </c>
      <c r="C709" s="18" t="s">
        <v>287</v>
      </c>
    </row>
    <row r="710" spans="1:3">
      <c r="A710" s="17" t="s">
        <v>1556</v>
      </c>
      <c r="B710" s="17" t="s">
        <v>1557</v>
      </c>
      <c r="C710" s="18" t="s">
        <v>287</v>
      </c>
    </row>
    <row r="711" spans="1:3">
      <c r="A711" s="17" t="s">
        <v>1558</v>
      </c>
      <c r="B711" s="17" t="s">
        <v>1559</v>
      </c>
      <c r="C711" s="18" t="s">
        <v>287</v>
      </c>
    </row>
    <row r="712" spans="1:3">
      <c r="A712" s="17" t="s">
        <v>1560</v>
      </c>
      <c r="B712" s="17" t="s">
        <v>1561</v>
      </c>
      <c r="C712" s="18" t="s">
        <v>287</v>
      </c>
    </row>
    <row r="713" spans="1:3">
      <c r="A713" s="17" t="s">
        <v>318</v>
      </c>
      <c r="B713" s="17" t="s">
        <v>319</v>
      </c>
      <c r="C713" s="18" t="s">
        <v>287</v>
      </c>
    </row>
    <row r="714" spans="1:3">
      <c r="A714" s="17" t="s">
        <v>1562</v>
      </c>
      <c r="B714" s="17" t="s">
        <v>1563</v>
      </c>
      <c r="C714" s="18" t="s">
        <v>287</v>
      </c>
    </row>
    <row r="715" spans="1:3">
      <c r="A715" s="17" t="s">
        <v>1564</v>
      </c>
      <c r="B715" s="17" t="s">
        <v>1565</v>
      </c>
      <c r="C715" s="18" t="s">
        <v>287</v>
      </c>
    </row>
    <row r="716" spans="1:3">
      <c r="A716" s="17" t="s">
        <v>1566</v>
      </c>
      <c r="B716" s="17" t="s">
        <v>1567</v>
      </c>
      <c r="C716" s="18" t="s">
        <v>287</v>
      </c>
    </row>
    <row r="717" spans="1:3">
      <c r="A717" s="17" t="s">
        <v>1568</v>
      </c>
      <c r="B717" s="17" t="s">
        <v>1569</v>
      </c>
      <c r="C717" s="18" t="s">
        <v>287</v>
      </c>
    </row>
    <row r="718" spans="1:3">
      <c r="A718" s="17" t="s">
        <v>1570</v>
      </c>
      <c r="B718" s="17" t="s">
        <v>1571</v>
      </c>
      <c r="C718" s="18" t="s">
        <v>287</v>
      </c>
    </row>
    <row r="719" spans="1:3">
      <c r="A719" s="17" t="s">
        <v>1245</v>
      </c>
      <c r="B719" s="17" t="s">
        <v>1246</v>
      </c>
      <c r="C719" s="18" t="s">
        <v>287</v>
      </c>
    </row>
    <row r="720" spans="1:3">
      <c r="A720" s="17" t="s">
        <v>1355</v>
      </c>
      <c r="B720" s="17" t="s">
        <v>1356</v>
      </c>
      <c r="C720" s="18" t="s">
        <v>287</v>
      </c>
    </row>
    <row r="721" spans="1:3">
      <c r="A721" s="17" t="s">
        <v>1247</v>
      </c>
      <c r="B721" s="17" t="s">
        <v>1248</v>
      </c>
      <c r="C721" s="18" t="s">
        <v>287</v>
      </c>
    </row>
    <row r="722" spans="1:3">
      <c r="A722" s="17" t="s">
        <v>1361</v>
      </c>
      <c r="B722" s="17" t="s">
        <v>1362</v>
      </c>
      <c r="C722" s="18" t="s">
        <v>287</v>
      </c>
    </row>
    <row r="723" spans="1:3">
      <c r="A723" s="17" t="s">
        <v>332</v>
      </c>
      <c r="B723" s="17" t="s">
        <v>333</v>
      </c>
      <c r="C723" s="18" t="s">
        <v>287</v>
      </c>
    </row>
    <row r="724" spans="1:3">
      <c r="A724" s="17" t="s">
        <v>1572</v>
      </c>
      <c r="B724" s="17" t="s">
        <v>1573</v>
      </c>
      <c r="C724" s="18" t="s">
        <v>287</v>
      </c>
    </row>
    <row r="725" spans="1:3">
      <c r="A725" s="17" t="s">
        <v>1249</v>
      </c>
      <c r="B725" s="17" t="s">
        <v>1250</v>
      </c>
      <c r="C725" s="18" t="s">
        <v>287</v>
      </c>
    </row>
    <row r="726" spans="1:3">
      <c r="A726" s="17" t="s">
        <v>1363</v>
      </c>
      <c r="B726" s="17" t="s">
        <v>1364</v>
      </c>
      <c r="C726" s="18" t="s">
        <v>287</v>
      </c>
    </row>
    <row r="727" spans="1:3">
      <c r="A727" s="17" t="s">
        <v>1255</v>
      </c>
      <c r="B727" s="17" t="s">
        <v>1256</v>
      </c>
      <c r="C727" s="18" t="s">
        <v>287</v>
      </c>
    </row>
    <row r="728" spans="1:3">
      <c r="A728" s="17" t="s">
        <v>1365</v>
      </c>
      <c r="B728" s="17" t="s">
        <v>1366</v>
      </c>
      <c r="C728" s="18" t="s">
        <v>287</v>
      </c>
    </row>
    <row r="729" spans="1:3">
      <c r="A729" s="17" t="s">
        <v>1574</v>
      </c>
      <c r="B729" s="17" t="s">
        <v>1575</v>
      </c>
      <c r="C729" s="18" t="s">
        <v>287</v>
      </c>
    </row>
    <row r="730" spans="1:3">
      <c r="A730" s="17" t="s">
        <v>1576</v>
      </c>
      <c r="B730" s="17" t="s">
        <v>1577</v>
      </c>
      <c r="C730" s="18" t="s">
        <v>287</v>
      </c>
    </row>
    <row r="731" spans="1:3">
      <c r="A731" s="17" t="s">
        <v>2082</v>
      </c>
      <c r="B731" s="17" t="s">
        <v>2083</v>
      </c>
      <c r="C731" s="18" t="s">
        <v>287</v>
      </c>
    </row>
    <row r="732" spans="1:3">
      <c r="A732" s="17" t="s">
        <v>1578</v>
      </c>
      <c r="B732" s="17" t="s">
        <v>1579</v>
      </c>
      <c r="C732" s="18" t="s">
        <v>287</v>
      </c>
    </row>
    <row r="733" spans="1:3">
      <c r="A733" s="17" t="s">
        <v>1580</v>
      </c>
      <c r="B733" s="17" t="s">
        <v>1581</v>
      </c>
      <c r="C733" s="18" t="s">
        <v>287</v>
      </c>
    </row>
    <row r="734" spans="1:3">
      <c r="A734" s="17" t="s">
        <v>1257</v>
      </c>
      <c r="B734" s="17" t="s">
        <v>1258</v>
      </c>
      <c r="C734" s="18" t="s">
        <v>287</v>
      </c>
    </row>
    <row r="735" spans="1:3">
      <c r="A735" s="17" t="s">
        <v>1367</v>
      </c>
      <c r="B735" s="17" t="s">
        <v>1368</v>
      </c>
      <c r="C735" s="18" t="s">
        <v>287</v>
      </c>
    </row>
    <row r="736" spans="1:3">
      <c r="A736" s="17" t="s">
        <v>1582</v>
      </c>
      <c r="B736" s="17" t="s">
        <v>1583</v>
      </c>
      <c r="C736" s="18" t="s">
        <v>287</v>
      </c>
    </row>
    <row r="737" spans="1:3">
      <c r="A737" s="17" t="s">
        <v>1584</v>
      </c>
      <c r="B737" s="17" t="s">
        <v>1585</v>
      </c>
      <c r="C737" s="18" t="s">
        <v>287</v>
      </c>
    </row>
    <row r="738" spans="1:3">
      <c r="A738" s="17" t="s">
        <v>1586</v>
      </c>
      <c r="B738" s="17" t="s">
        <v>1587</v>
      </c>
      <c r="C738" s="18" t="s">
        <v>287</v>
      </c>
    </row>
    <row r="739" spans="1:3">
      <c r="A739" s="17" t="s">
        <v>1588</v>
      </c>
      <c r="B739" s="17" t="s">
        <v>1589</v>
      </c>
      <c r="C739" s="18" t="s">
        <v>287</v>
      </c>
    </row>
    <row r="740" spans="1:3">
      <c r="A740" s="17" t="s">
        <v>1259</v>
      </c>
      <c r="B740" s="17" t="s">
        <v>1260</v>
      </c>
      <c r="C740" s="18" t="s">
        <v>287</v>
      </c>
    </row>
    <row r="741" spans="1:3">
      <c r="A741" s="17" t="s">
        <v>1369</v>
      </c>
      <c r="B741" s="17" t="s">
        <v>1370</v>
      </c>
      <c r="C741" s="18" t="s">
        <v>287</v>
      </c>
    </row>
    <row r="742" spans="1:3">
      <c r="A742" s="17" t="s">
        <v>1261</v>
      </c>
      <c r="B742" s="17" t="s">
        <v>1262</v>
      </c>
      <c r="C742" s="18" t="s">
        <v>287</v>
      </c>
    </row>
    <row r="743" spans="1:3">
      <c r="A743" s="17" t="s">
        <v>1371</v>
      </c>
      <c r="B743" s="17" t="s">
        <v>1372</v>
      </c>
      <c r="C743" s="18" t="s">
        <v>287</v>
      </c>
    </row>
    <row r="744" spans="1:3">
      <c r="A744" s="17" t="s">
        <v>1590</v>
      </c>
      <c r="B744" s="17" t="s">
        <v>1591</v>
      </c>
      <c r="C744" s="18" t="s">
        <v>287</v>
      </c>
    </row>
    <row r="745" spans="1:3">
      <c r="A745" s="17" t="s">
        <v>1592</v>
      </c>
      <c r="B745" s="17" t="s">
        <v>1593</v>
      </c>
      <c r="C745" s="18" t="s">
        <v>287</v>
      </c>
    </row>
    <row r="746" spans="1:3">
      <c r="A746" s="17" t="s">
        <v>1594</v>
      </c>
      <c r="B746" s="17" t="s">
        <v>1595</v>
      </c>
      <c r="C746" s="18" t="s">
        <v>287</v>
      </c>
    </row>
    <row r="747" spans="1:3">
      <c r="A747" s="17" t="s">
        <v>1596</v>
      </c>
      <c r="B747" s="17" t="s">
        <v>1597</v>
      </c>
      <c r="C747" s="18" t="s">
        <v>287</v>
      </c>
    </row>
    <row r="748" spans="1:3">
      <c r="A748" s="17" t="s">
        <v>1598</v>
      </c>
      <c r="B748" s="17" t="s">
        <v>1599</v>
      </c>
      <c r="C748" s="18" t="s">
        <v>287</v>
      </c>
    </row>
    <row r="749" spans="1:3">
      <c r="A749" s="17" t="s">
        <v>1600</v>
      </c>
      <c r="B749" s="17" t="s">
        <v>1601</v>
      </c>
      <c r="C749" s="18" t="s">
        <v>287</v>
      </c>
    </row>
    <row r="750" spans="1:3">
      <c r="A750" s="17" t="s">
        <v>1602</v>
      </c>
      <c r="B750" s="17" t="s">
        <v>1603</v>
      </c>
      <c r="C750" s="18" t="s">
        <v>287</v>
      </c>
    </row>
    <row r="751" spans="1:3">
      <c r="A751" s="17" t="s">
        <v>1604</v>
      </c>
      <c r="B751" s="17" t="s">
        <v>1605</v>
      </c>
      <c r="C751" s="18" t="s">
        <v>287</v>
      </c>
    </row>
    <row r="752" spans="1:3">
      <c r="A752" s="17" t="s">
        <v>1606</v>
      </c>
      <c r="B752" s="17" t="s">
        <v>1607</v>
      </c>
      <c r="C752" s="18" t="s">
        <v>287</v>
      </c>
    </row>
    <row r="753" spans="1:3">
      <c r="A753" s="17" t="s">
        <v>1263</v>
      </c>
      <c r="B753" s="17" t="s">
        <v>1264</v>
      </c>
      <c r="C753" s="18" t="s">
        <v>287</v>
      </c>
    </row>
    <row r="754" spans="1:3">
      <c r="A754" s="17" t="s">
        <v>1373</v>
      </c>
      <c r="B754" s="17" t="s">
        <v>1374</v>
      </c>
      <c r="C754" s="18" t="s">
        <v>287</v>
      </c>
    </row>
    <row r="755" spans="1:3">
      <c r="A755" s="17" t="s">
        <v>1265</v>
      </c>
      <c r="B755" s="17" t="s">
        <v>1266</v>
      </c>
      <c r="C755" s="18" t="s">
        <v>287</v>
      </c>
    </row>
    <row r="756" spans="1:3">
      <c r="A756" s="17" t="s">
        <v>1375</v>
      </c>
      <c r="B756" s="17" t="s">
        <v>1376</v>
      </c>
      <c r="C756" s="18" t="s">
        <v>287</v>
      </c>
    </row>
    <row r="757" spans="1:3">
      <c r="A757" s="17" t="s">
        <v>1608</v>
      </c>
      <c r="B757" s="17" t="s">
        <v>1609</v>
      </c>
      <c r="C757" s="18" t="s">
        <v>287</v>
      </c>
    </row>
    <row r="758" spans="1:3">
      <c r="A758" s="17" t="s">
        <v>1610</v>
      </c>
      <c r="B758" s="17" t="s">
        <v>1611</v>
      </c>
      <c r="C758" s="18" t="s">
        <v>287</v>
      </c>
    </row>
    <row r="759" spans="1:3">
      <c r="A759" s="17" t="s">
        <v>1612</v>
      </c>
      <c r="B759" s="17" t="s">
        <v>1613</v>
      </c>
      <c r="C759" s="18" t="s">
        <v>287</v>
      </c>
    </row>
    <row r="760" spans="1:3">
      <c r="A760" s="17" t="s">
        <v>1614</v>
      </c>
      <c r="B760" s="17" t="s">
        <v>1615</v>
      </c>
      <c r="C760" s="18" t="s">
        <v>287</v>
      </c>
    </row>
    <row r="761" spans="1:3">
      <c r="A761" s="17" t="s">
        <v>1616</v>
      </c>
      <c r="B761" s="17" t="s">
        <v>1617</v>
      </c>
      <c r="C761" s="18" t="s">
        <v>287</v>
      </c>
    </row>
    <row r="762" spans="1:3">
      <c r="A762" s="17" t="s">
        <v>1618</v>
      </c>
      <c r="B762" s="17" t="s">
        <v>1619</v>
      </c>
      <c r="C762" s="18" t="s">
        <v>287</v>
      </c>
    </row>
    <row r="763" spans="1:3">
      <c r="A763" s="17" t="s">
        <v>1620</v>
      </c>
      <c r="B763" s="17" t="s">
        <v>1621</v>
      </c>
      <c r="C763" s="18" t="s">
        <v>287</v>
      </c>
    </row>
    <row r="764" spans="1:3">
      <c r="A764" s="17" t="s">
        <v>344</v>
      </c>
      <c r="B764" s="17" t="s">
        <v>345</v>
      </c>
      <c r="C764" s="18" t="s">
        <v>287</v>
      </c>
    </row>
    <row r="765" spans="1:3">
      <c r="A765" s="17" t="s">
        <v>1622</v>
      </c>
      <c r="B765" s="17" t="s">
        <v>1623</v>
      </c>
      <c r="C765" s="18" t="s">
        <v>287</v>
      </c>
    </row>
    <row r="766" spans="1:3">
      <c r="A766" s="17" t="s">
        <v>1267</v>
      </c>
      <c r="B766" s="17" t="s">
        <v>1268</v>
      </c>
      <c r="C766" s="18" t="s">
        <v>287</v>
      </c>
    </row>
    <row r="767" spans="1:3">
      <c r="A767" s="17" t="s">
        <v>1377</v>
      </c>
      <c r="B767" s="17" t="s">
        <v>1378</v>
      </c>
      <c r="C767" s="18" t="s">
        <v>287</v>
      </c>
    </row>
    <row r="768" spans="1:3">
      <c r="A768" s="17" t="s">
        <v>1624</v>
      </c>
      <c r="B768" s="17" t="s">
        <v>1625</v>
      </c>
      <c r="C768" s="18" t="s">
        <v>287</v>
      </c>
    </row>
    <row r="769" spans="1:4">
      <c r="A769" s="17" t="s">
        <v>290</v>
      </c>
      <c r="B769" s="17" t="s">
        <v>291</v>
      </c>
      <c r="C769" s="18" t="s">
        <v>287</v>
      </c>
      <c r="D769" s="20"/>
    </row>
    <row r="770" spans="1:4">
      <c r="A770" s="17" t="s">
        <v>292</v>
      </c>
      <c r="B770" s="17" t="s">
        <v>293</v>
      </c>
      <c r="C770" s="18" t="s">
        <v>287</v>
      </c>
    </row>
    <row r="771" spans="1:4">
      <c r="A771" s="17" t="s">
        <v>302</v>
      </c>
      <c r="B771" s="17" t="s">
        <v>303</v>
      </c>
      <c r="C771" s="18" t="s">
        <v>287</v>
      </c>
    </row>
    <row r="772" spans="1:4">
      <c r="A772" s="17" t="s">
        <v>308</v>
      </c>
      <c r="B772" s="17" t="s">
        <v>309</v>
      </c>
      <c r="C772" s="18" t="s">
        <v>287</v>
      </c>
    </row>
    <row r="773" spans="1:4">
      <c r="A773" s="17" t="s">
        <v>1626</v>
      </c>
      <c r="B773" s="17" t="s">
        <v>1627</v>
      </c>
      <c r="C773" s="18" t="s">
        <v>287</v>
      </c>
    </row>
    <row r="774" spans="1:4">
      <c r="A774" s="17" t="s">
        <v>1628</v>
      </c>
      <c r="B774" s="17" t="s">
        <v>1629</v>
      </c>
      <c r="C774" s="18" t="s">
        <v>287</v>
      </c>
    </row>
    <row r="775" spans="1:4">
      <c r="A775" s="17" t="s">
        <v>1630</v>
      </c>
      <c r="B775" s="17" t="s">
        <v>1631</v>
      </c>
      <c r="C775" s="18" t="s">
        <v>287</v>
      </c>
    </row>
    <row r="776" spans="1:4">
      <c r="A776" s="17" t="s">
        <v>1632</v>
      </c>
      <c r="B776" s="17" t="s">
        <v>1633</v>
      </c>
      <c r="C776" s="18" t="s">
        <v>287</v>
      </c>
    </row>
    <row r="777" spans="1:4">
      <c r="A777" s="17" t="s">
        <v>1634</v>
      </c>
      <c r="B777" s="17" t="s">
        <v>1635</v>
      </c>
      <c r="C777" s="18" t="s">
        <v>287</v>
      </c>
    </row>
    <row r="778" spans="1:4">
      <c r="A778" s="17" t="s">
        <v>1269</v>
      </c>
      <c r="B778" s="17" t="s">
        <v>1270</v>
      </c>
      <c r="C778" s="18" t="s">
        <v>287</v>
      </c>
    </row>
    <row r="779" spans="1:4">
      <c r="A779" s="17" t="s">
        <v>1379</v>
      </c>
      <c r="B779" s="17" t="s">
        <v>1380</v>
      </c>
      <c r="C779" s="18" t="s">
        <v>287</v>
      </c>
    </row>
    <row r="780" spans="1:4">
      <c r="A780" s="17" t="s">
        <v>1271</v>
      </c>
      <c r="B780" s="17" t="s">
        <v>1272</v>
      </c>
      <c r="C780" s="18" t="s">
        <v>287</v>
      </c>
    </row>
    <row r="781" spans="1:4">
      <c r="A781" s="17" t="s">
        <v>1381</v>
      </c>
      <c r="B781" s="17" t="s">
        <v>1382</v>
      </c>
      <c r="C781" s="18" t="s">
        <v>287</v>
      </c>
    </row>
    <row r="782" spans="1:4">
      <c r="A782" s="17" t="s">
        <v>1636</v>
      </c>
      <c r="B782" s="17" t="s">
        <v>1637</v>
      </c>
      <c r="C782" s="18" t="s">
        <v>287</v>
      </c>
    </row>
    <row r="783" spans="1:4">
      <c r="A783" s="17" t="s">
        <v>1638</v>
      </c>
      <c r="B783" s="17" t="s">
        <v>1639</v>
      </c>
      <c r="C783" s="18" t="s">
        <v>287</v>
      </c>
    </row>
    <row r="784" spans="1:4">
      <c r="A784" s="17" t="s">
        <v>1640</v>
      </c>
      <c r="B784" s="17" t="s">
        <v>1641</v>
      </c>
      <c r="C784" s="18" t="s">
        <v>287</v>
      </c>
    </row>
    <row r="785" spans="1:3">
      <c r="A785" s="17" t="s">
        <v>1642</v>
      </c>
      <c r="B785" s="17" t="s">
        <v>1643</v>
      </c>
      <c r="C785" s="18" t="s">
        <v>287</v>
      </c>
    </row>
    <row r="786" spans="1:3">
      <c r="A786" s="17" t="s">
        <v>1644</v>
      </c>
      <c r="B786" s="17" t="s">
        <v>1645</v>
      </c>
      <c r="C786" s="18" t="s">
        <v>287</v>
      </c>
    </row>
    <row r="787" spans="1:3">
      <c r="A787" s="17" t="s">
        <v>1646</v>
      </c>
      <c r="B787" s="17" t="s">
        <v>1647</v>
      </c>
      <c r="C787" s="18" t="s">
        <v>287</v>
      </c>
    </row>
    <row r="788" spans="1:3">
      <c r="A788" s="17" t="s">
        <v>320</v>
      </c>
      <c r="B788" s="17" t="s">
        <v>321</v>
      </c>
      <c r="C788" s="18" t="s">
        <v>287</v>
      </c>
    </row>
    <row r="789" spans="1:3">
      <c r="A789" s="17" t="s">
        <v>334</v>
      </c>
      <c r="B789" s="17" t="s">
        <v>335</v>
      </c>
      <c r="C789" s="18" t="s">
        <v>287</v>
      </c>
    </row>
    <row r="790" spans="1:3">
      <c r="A790" s="17" t="s">
        <v>1648</v>
      </c>
      <c r="B790" s="17" t="s">
        <v>1649</v>
      </c>
      <c r="C790" s="18" t="s">
        <v>287</v>
      </c>
    </row>
    <row r="791" spans="1:3">
      <c r="A791" s="17" t="s">
        <v>1650</v>
      </c>
      <c r="B791" s="17" t="s">
        <v>1651</v>
      </c>
      <c r="C791" s="18" t="s">
        <v>287</v>
      </c>
    </row>
    <row r="792" spans="1:3">
      <c r="A792" s="17" t="s">
        <v>1652</v>
      </c>
      <c r="B792" s="17" t="s">
        <v>1653</v>
      </c>
      <c r="C792" s="18" t="s">
        <v>287</v>
      </c>
    </row>
    <row r="793" spans="1:3">
      <c r="A793" s="17" t="s">
        <v>1654</v>
      </c>
      <c r="B793" s="17" t="s">
        <v>1655</v>
      </c>
      <c r="C793" s="18" t="s">
        <v>287</v>
      </c>
    </row>
    <row r="794" spans="1:3">
      <c r="A794" s="17" t="s">
        <v>1273</v>
      </c>
      <c r="B794" s="17" t="s">
        <v>1274</v>
      </c>
      <c r="C794" s="18" t="s">
        <v>287</v>
      </c>
    </row>
    <row r="795" spans="1:3">
      <c r="A795" s="17" t="s">
        <v>1383</v>
      </c>
      <c r="B795" s="17" t="s">
        <v>1384</v>
      </c>
      <c r="C795" s="18" t="s">
        <v>287</v>
      </c>
    </row>
    <row r="796" spans="1:3">
      <c r="A796" s="17" t="s">
        <v>1275</v>
      </c>
      <c r="B796" s="17" t="s">
        <v>1276</v>
      </c>
      <c r="C796" s="18" t="s">
        <v>287</v>
      </c>
    </row>
    <row r="797" spans="1:3">
      <c r="A797" s="17" t="s">
        <v>1385</v>
      </c>
      <c r="B797" s="17" t="s">
        <v>1386</v>
      </c>
      <c r="C797" s="18" t="s">
        <v>287</v>
      </c>
    </row>
    <row r="798" spans="1:3">
      <c r="A798" s="17" t="s">
        <v>1277</v>
      </c>
      <c r="B798" s="17" t="s">
        <v>1278</v>
      </c>
      <c r="C798" s="18" t="s">
        <v>287</v>
      </c>
    </row>
    <row r="799" spans="1:3">
      <c r="A799" s="17" t="s">
        <v>1387</v>
      </c>
      <c r="B799" s="17" t="s">
        <v>1388</v>
      </c>
      <c r="C799" s="18" t="s">
        <v>287</v>
      </c>
    </row>
    <row r="800" spans="1:3">
      <c r="A800" s="17" t="s">
        <v>1656</v>
      </c>
      <c r="B800" s="17" t="s">
        <v>1657</v>
      </c>
      <c r="C800" s="18" t="s">
        <v>287</v>
      </c>
    </row>
    <row r="801" spans="1:3">
      <c r="A801" s="17" t="s">
        <v>1658</v>
      </c>
      <c r="B801" s="17" t="s">
        <v>1659</v>
      </c>
      <c r="C801" s="18" t="s">
        <v>287</v>
      </c>
    </row>
    <row r="802" spans="1:3">
      <c r="A802" s="17" t="s">
        <v>1660</v>
      </c>
      <c r="B802" s="17" t="s">
        <v>1661</v>
      </c>
      <c r="C802" s="18" t="s">
        <v>287</v>
      </c>
    </row>
    <row r="803" spans="1:3">
      <c r="A803" s="17" t="s">
        <v>1662</v>
      </c>
      <c r="B803" s="17" t="s">
        <v>1663</v>
      </c>
      <c r="C803" s="18" t="s">
        <v>287</v>
      </c>
    </row>
    <row r="804" spans="1:3">
      <c r="A804" s="17" t="s">
        <v>1664</v>
      </c>
      <c r="B804" s="17" t="s">
        <v>1665</v>
      </c>
      <c r="C804" s="18" t="s">
        <v>287</v>
      </c>
    </row>
    <row r="805" spans="1:3">
      <c r="A805" s="17" t="s">
        <v>1666</v>
      </c>
      <c r="B805" s="17" t="s">
        <v>1667</v>
      </c>
      <c r="C805" s="18" t="s">
        <v>287</v>
      </c>
    </row>
    <row r="806" spans="1:3">
      <c r="A806" s="17" t="s">
        <v>1668</v>
      </c>
      <c r="B806" s="17" t="s">
        <v>1669</v>
      </c>
      <c r="C806" s="18" t="s">
        <v>287</v>
      </c>
    </row>
    <row r="807" spans="1:3">
      <c r="A807" s="17" t="s">
        <v>1670</v>
      </c>
      <c r="B807" s="17" t="s">
        <v>1671</v>
      </c>
      <c r="C807" s="18" t="s">
        <v>287</v>
      </c>
    </row>
    <row r="808" spans="1:3">
      <c r="A808" s="17" t="s">
        <v>1279</v>
      </c>
      <c r="B808" s="17" t="s">
        <v>1280</v>
      </c>
      <c r="C808" s="18" t="s">
        <v>287</v>
      </c>
    </row>
    <row r="809" spans="1:3">
      <c r="A809" s="17" t="s">
        <v>1389</v>
      </c>
      <c r="B809" s="17" t="s">
        <v>1390</v>
      </c>
      <c r="C809" s="18" t="s">
        <v>287</v>
      </c>
    </row>
    <row r="810" spans="1:3">
      <c r="A810" s="17" t="s">
        <v>1672</v>
      </c>
      <c r="B810" s="17" t="s">
        <v>1673</v>
      </c>
      <c r="C810" s="18" t="s">
        <v>287</v>
      </c>
    </row>
    <row r="811" spans="1:3">
      <c r="A811" s="17" t="s">
        <v>1674</v>
      </c>
      <c r="B811" s="17" t="s">
        <v>1675</v>
      </c>
      <c r="C811" s="18" t="s">
        <v>287</v>
      </c>
    </row>
    <row r="812" spans="1:3">
      <c r="A812" s="17" t="s">
        <v>1676</v>
      </c>
      <c r="B812" s="17" t="s">
        <v>1677</v>
      </c>
      <c r="C812" s="18" t="s">
        <v>287</v>
      </c>
    </row>
    <row r="813" spans="1:3">
      <c r="A813" s="17" t="s">
        <v>1251</v>
      </c>
      <c r="B813" s="17" t="s">
        <v>1252</v>
      </c>
      <c r="C813" s="18" t="s">
        <v>287</v>
      </c>
    </row>
    <row r="814" spans="1:3">
      <c r="A814" s="17" t="s">
        <v>1357</v>
      </c>
      <c r="B814" s="17" t="s">
        <v>1358</v>
      </c>
      <c r="C814" s="18" t="s">
        <v>287</v>
      </c>
    </row>
    <row r="815" spans="1:3">
      <c r="A815" s="17" t="s">
        <v>1678</v>
      </c>
      <c r="B815" s="17" t="s">
        <v>1679</v>
      </c>
      <c r="C815" s="18" t="s">
        <v>287</v>
      </c>
    </row>
    <row r="816" spans="1:3">
      <c r="A816" s="17" t="s">
        <v>1281</v>
      </c>
      <c r="B816" s="17" t="s">
        <v>1282</v>
      </c>
      <c r="C816" s="18" t="s">
        <v>287</v>
      </c>
    </row>
    <row r="817" spans="1:3">
      <c r="A817" s="17" t="s">
        <v>1391</v>
      </c>
      <c r="B817" s="17" t="s">
        <v>1392</v>
      </c>
      <c r="C817" s="18" t="s">
        <v>287</v>
      </c>
    </row>
    <row r="818" spans="1:3">
      <c r="A818" s="17" t="s">
        <v>1680</v>
      </c>
      <c r="B818" s="17" t="s">
        <v>1681</v>
      </c>
      <c r="C818" s="18" t="s">
        <v>287</v>
      </c>
    </row>
    <row r="819" spans="1:3">
      <c r="A819" s="17" t="s">
        <v>1283</v>
      </c>
      <c r="B819" s="17" t="s">
        <v>1284</v>
      </c>
      <c r="C819" s="18" t="s">
        <v>287</v>
      </c>
    </row>
    <row r="820" spans="1:3">
      <c r="A820" s="17" t="s">
        <v>1393</v>
      </c>
      <c r="B820" s="17" t="s">
        <v>1394</v>
      </c>
      <c r="C820" s="18" t="s">
        <v>287</v>
      </c>
    </row>
    <row r="821" spans="1:3">
      <c r="A821" s="17" t="s">
        <v>322</v>
      </c>
      <c r="B821" s="17" t="s">
        <v>323</v>
      </c>
      <c r="C821" s="18" t="s">
        <v>287</v>
      </c>
    </row>
    <row r="822" spans="1:3">
      <c r="A822" s="17" t="s">
        <v>336</v>
      </c>
      <c r="B822" s="17" t="s">
        <v>337</v>
      </c>
      <c r="C822" s="18" t="s">
        <v>287</v>
      </c>
    </row>
    <row r="823" spans="1:3">
      <c r="A823" s="17" t="s">
        <v>1285</v>
      </c>
      <c r="B823" s="17" t="s">
        <v>1286</v>
      </c>
      <c r="C823" s="18" t="s">
        <v>287</v>
      </c>
    </row>
    <row r="824" spans="1:3">
      <c r="A824" s="17" t="s">
        <v>1395</v>
      </c>
      <c r="B824" s="17" t="s">
        <v>1396</v>
      </c>
      <c r="C824" s="18" t="s">
        <v>287</v>
      </c>
    </row>
    <row r="825" spans="1:3">
      <c r="A825" s="17" t="s">
        <v>1682</v>
      </c>
      <c r="B825" s="17" t="s">
        <v>1683</v>
      </c>
      <c r="C825" s="18" t="s">
        <v>287</v>
      </c>
    </row>
    <row r="826" spans="1:3">
      <c r="A826" s="17" t="s">
        <v>1684</v>
      </c>
      <c r="B826" s="17" t="s">
        <v>1685</v>
      </c>
      <c r="C826" s="18" t="s">
        <v>287</v>
      </c>
    </row>
    <row r="827" spans="1:3">
      <c r="A827" s="17" t="s">
        <v>1253</v>
      </c>
      <c r="B827" s="17" t="s">
        <v>1254</v>
      </c>
      <c r="C827" s="18" t="s">
        <v>287</v>
      </c>
    </row>
    <row r="828" spans="1:3">
      <c r="A828" s="17" t="s">
        <v>1359</v>
      </c>
      <c r="B828" s="17" t="s">
        <v>1360</v>
      </c>
      <c r="C828" s="18" t="s">
        <v>287</v>
      </c>
    </row>
    <row r="829" spans="1:3">
      <c r="A829" s="17" t="s">
        <v>1287</v>
      </c>
      <c r="B829" s="17" t="s">
        <v>1288</v>
      </c>
      <c r="C829" s="18" t="s">
        <v>287</v>
      </c>
    </row>
    <row r="830" spans="1:3">
      <c r="A830" s="17" t="s">
        <v>1397</v>
      </c>
      <c r="B830" s="17" t="s">
        <v>1398</v>
      </c>
      <c r="C830" s="18" t="s">
        <v>287</v>
      </c>
    </row>
    <row r="831" spans="1:3">
      <c r="A831" s="17" t="s">
        <v>1686</v>
      </c>
      <c r="B831" s="17" t="s">
        <v>1687</v>
      </c>
      <c r="C831" s="18" t="s">
        <v>287</v>
      </c>
    </row>
    <row r="832" spans="1:3">
      <c r="A832" s="17" t="s">
        <v>1688</v>
      </c>
      <c r="B832" s="17" t="s">
        <v>1689</v>
      </c>
      <c r="C832" s="18" t="s">
        <v>287</v>
      </c>
    </row>
    <row r="833" spans="1:3">
      <c r="A833" s="17" t="s">
        <v>1289</v>
      </c>
      <c r="B833" s="17" t="s">
        <v>1290</v>
      </c>
      <c r="C833" s="18" t="s">
        <v>287</v>
      </c>
    </row>
    <row r="834" spans="1:3">
      <c r="A834" s="17" t="s">
        <v>1399</v>
      </c>
      <c r="B834" s="17" t="s">
        <v>1400</v>
      </c>
      <c r="C834" s="18" t="s">
        <v>287</v>
      </c>
    </row>
    <row r="835" spans="1:3">
      <c r="A835" s="17" t="s">
        <v>340</v>
      </c>
      <c r="B835" s="17" t="s">
        <v>341</v>
      </c>
      <c r="C835" s="18" t="s">
        <v>287</v>
      </c>
    </row>
    <row r="836" spans="1:3">
      <c r="A836" s="17" t="s">
        <v>1690</v>
      </c>
      <c r="B836" s="17" t="s">
        <v>1691</v>
      </c>
      <c r="C836" s="18" t="s">
        <v>287</v>
      </c>
    </row>
    <row r="837" spans="1:3">
      <c r="A837" s="17" t="s">
        <v>324</v>
      </c>
      <c r="B837" s="17" t="s">
        <v>325</v>
      </c>
      <c r="C837" s="18" t="s">
        <v>287</v>
      </c>
    </row>
    <row r="838" spans="1:3">
      <c r="A838" s="17" t="s">
        <v>1692</v>
      </c>
      <c r="B838" s="17" t="s">
        <v>1693</v>
      </c>
      <c r="C838" s="18" t="s">
        <v>287</v>
      </c>
    </row>
    <row r="839" spans="1:3">
      <c r="A839" s="17" t="s">
        <v>1694</v>
      </c>
      <c r="B839" s="17" t="s">
        <v>1695</v>
      </c>
      <c r="C839" s="18" t="s">
        <v>287</v>
      </c>
    </row>
    <row r="840" spans="1:3">
      <c r="A840" s="17" t="s">
        <v>1696</v>
      </c>
      <c r="B840" s="17" t="s">
        <v>1697</v>
      </c>
      <c r="C840" s="18" t="s">
        <v>287</v>
      </c>
    </row>
    <row r="841" spans="1:3">
      <c r="A841" s="17" t="s">
        <v>1698</v>
      </c>
      <c r="B841" s="17" t="s">
        <v>1699</v>
      </c>
      <c r="C841" s="18" t="s">
        <v>287</v>
      </c>
    </row>
    <row r="842" spans="1:3">
      <c r="A842" s="17" t="s">
        <v>1700</v>
      </c>
      <c r="B842" s="17" t="s">
        <v>1701</v>
      </c>
      <c r="C842" s="18" t="s">
        <v>287</v>
      </c>
    </row>
    <row r="843" spans="1:3">
      <c r="A843" s="17" t="s">
        <v>1702</v>
      </c>
      <c r="B843" s="17" t="s">
        <v>1703</v>
      </c>
      <c r="C843" s="18" t="s">
        <v>287</v>
      </c>
    </row>
    <row r="844" spans="1:3">
      <c r="A844" s="17" t="s">
        <v>1704</v>
      </c>
      <c r="B844" s="17" t="s">
        <v>1705</v>
      </c>
      <c r="C844" s="18" t="s">
        <v>287</v>
      </c>
    </row>
    <row r="845" spans="1:3">
      <c r="A845" s="17" t="s">
        <v>1291</v>
      </c>
      <c r="B845" s="17" t="s">
        <v>1292</v>
      </c>
      <c r="C845" s="18" t="s">
        <v>287</v>
      </c>
    </row>
    <row r="846" spans="1:3">
      <c r="A846" s="17" t="s">
        <v>1401</v>
      </c>
      <c r="B846" s="17" t="s">
        <v>1402</v>
      </c>
      <c r="C846" s="18" t="s">
        <v>287</v>
      </c>
    </row>
    <row r="847" spans="1:3">
      <c r="A847" s="17" t="s">
        <v>1293</v>
      </c>
      <c r="B847" s="17" t="s">
        <v>1294</v>
      </c>
      <c r="C847" s="18" t="s">
        <v>287</v>
      </c>
    </row>
    <row r="848" spans="1:3">
      <c r="A848" s="17" t="s">
        <v>1403</v>
      </c>
      <c r="B848" s="17" t="s">
        <v>1404</v>
      </c>
      <c r="C848" s="18" t="s">
        <v>287</v>
      </c>
    </row>
    <row r="849" spans="1:3">
      <c r="A849" s="17" t="s">
        <v>1706</v>
      </c>
      <c r="B849" s="17" t="s">
        <v>1707</v>
      </c>
      <c r="C849" s="18" t="s">
        <v>287</v>
      </c>
    </row>
    <row r="850" spans="1:3">
      <c r="A850" s="17" t="s">
        <v>1708</v>
      </c>
      <c r="B850" s="17" t="s">
        <v>1709</v>
      </c>
      <c r="C850" s="18" t="s">
        <v>287</v>
      </c>
    </row>
    <row r="851" spans="1:3">
      <c r="A851" s="17" t="s">
        <v>1295</v>
      </c>
      <c r="B851" s="17" t="s">
        <v>1296</v>
      </c>
      <c r="C851" s="18" t="s">
        <v>287</v>
      </c>
    </row>
    <row r="852" spans="1:3">
      <c r="A852" s="17" t="s">
        <v>1405</v>
      </c>
      <c r="B852" s="17" t="s">
        <v>1406</v>
      </c>
      <c r="C852" s="18" t="s">
        <v>287</v>
      </c>
    </row>
    <row r="853" spans="1:3">
      <c r="A853" s="17" t="s">
        <v>1297</v>
      </c>
      <c r="B853" s="17" t="s">
        <v>1298</v>
      </c>
      <c r="C853" s="18" t="s">
        <v>287</v>
      </c>
    </row>
    <row r="854" spans="1:3">
      <c r="A854" s="17" t="s">
        <v>1407</v>
      </c>
      <c r="B854" s="17" t="s">
        <v>1408</v>
      </c>
      <c r="C854" s="18" t="s">
        <v>287</v>
      </c>
    </row>
    <row r="855" spans="1:3">
      <c r="A855" s="17" t="s">
        <v>1710</v>
      </c>
      <c r="B855" s="17" t="s">
        <v>1711</v>
      </c>
      <c r="C855" s="18" t="s">
        <v>287</v>
      </c>
    </row>
    <row r="856" spans="1:3">
      <c r="A856" s="17" t="s">
        <v>1712</v>
      </c>
      <c r="B856" s="17" t="s">
        <v>1713</v>
      </c>
      <c r="C856" s="18" t="s">
        <v>287</v>
      </c>
    </row>
    <row r="857" spans="1:3">
      <c r="A857" s="17" t="s">
        <v>1714</v>
      </c>
      <c r="B857" s="17" t="s">
        <v>1715</v>
      </c>
      <c r="C857" s="18" t="s">
        <v>287</v>
      </c>
    </row>
    <row r="858" spans="1:3">
      <c r="A858" s="17" t="s">
        <v>1716</v>
      </c>
      <c r="B858" s="17" t="s">
        <v>1717</v>
      </c>
      <c r="C858" s="18" t="s">
        <v>287</v>
      </c>
    </row>
    <row r="859" spans="1:3">
      <c r="A859" s="17" t="s">
        <v>1718</v>
      </c>
      <c r="B859" s="17" t="s">
        <v>1719</v>
      </c>
      <c r="C859" s="18" t="s">
        <v>287</v>
      </c>
    </row>
    <row r="860" spans="1:3">
      <c r="A860" s="17" t="s">
        <v>1299</v>
      </c>
      <c r="B860" s="17" t="s">
        <v>1300</v>
      </c>
      <c r="C860" s="18" t="s">
        <v>287</v>
      </c>
    </row>
    <row r="861" spans="1:3">
      <c r="A861" s="17" t="s">
        <v>1409</v>
      </c>
      <c r="B861" s="17" t="s">
        <v>1410</v>
      </c>
      <c r="C861" s="18" t="s">
        <v>287</v>
      </c>
    </row>
    <row r="862" spans="1:3">
      <c r="A862" s="17" t="s">
        <v>1301</v>
      </c>
      <c r="B862" s="17" t="s">
        <v>1302</v>
      </c>
      <c r="C862" s="18" t="s">
        <v>287</v>
      </c>
    </row>
    <row r="863" spans="1:3">
      <c r="A863" s="17" t="s">
        <v>1411</v>
      </c>
      <c r="B863" s="17" t="s">
        <v>1412</v>
      </c>
      <c r="C863" s="18" t="s">
        <v>287</v>
      </c>
    </row>
    <row r="864" spans="1:3">
      <c r="A864" s="17" t="s">
        <v>1303</v>
      </c>
      <c r="B864" s="17" t="s">
        <v>1304</v>
      </c>
      <c r="C864" s="18" t="s">
        <v>287</v>
      </c>
    </row>
    <row r="865" spans="1:3">
      <c r="A865" s="17" t="s">
        <v>1413</v>
      </c>
      <c r="B865" s="17" t="s">
        <v>1414</v>
      </c>
      <c r="C865" s="18" t="s">
        <v>287</v>
      </c>
    </row>
    <row r="866" spans="1:3">
      <c r="A866" s="17" t="s">
        <v>1305</v>
      </c>
      <c r="B866" s="17" t="s">
        <v>1306</v>
      </c>
      <c r="C866" s="18" t="s">
        <v>287</v>
      </c>
    </row>
    <row r="867" spans="1:3">
      <c r="A867" s="17" t="s">
        <v>1415</v>
      </c>
      <c r="B867" s="17" t="s">
        <v>1416</v>
      </c>
      <c r="C867" s="18" t="s">
        <v>287</v>
      </c>
    </row>
    <row r="868" spans="1:3">
      <c r="A868" s="17" t="s">
        <v>1720</v>
      </c>
      <c r="B868" s="17" t="s">
        <v>1721</v>
      </c>
      <c r="C868" s="18" t="s">
        <v>287</v>
      </c>
    </row>
    <row r="869" spans="1:3">
      <c r="A869" s="17" t="s">
        <v>1722</v>
      </c>
      <c r="B869" s="17" t="s">
        <v>1723</v>
      </c>
      <c r="C869" s="18" t="s">
        <v>287</v>
      </c>
    </row>
    <row r="870" spans="1:3">
      <c r="A870" s="17" t="s">
        <v>1307</v>
      </c>
      <c r="B870" s="17" t="s">
        <v>1308</v>
      </c>
      <c r="C870" s="18" t="s">
        <v>287</v>
      </c>
    </row>
    <row r="871" spans="1:3">
      <c r="A871" s="17" t="s">
        <v>1417</v>
      </c>
      <c r="B871" s="17" t="s">
        <v>1418</v>
      </c>
      <c r="C871" s="18" t="s">
        <v>287</v>
      </c>
    </row>
    <row r="872" spans="1:3">
      <c r="A872" s="17" t="s">
        <v>1309</v>
      </c>
      <c r="B872" s="17" t="s">
        <v>1310</v>
      </c>
      <c r="C872" s="18" t="s">
        <v>287</v>
      </c>
    </row>
    <row r="873" spans="1:3">
      <c r="A873" s="17" t="s">
        <v>1419</v>
      </c>
      <c r="B873" s="17" t="s">
        <v>1420</v>
      </c>
      <c r="C873" s="18" t="s">
        <v>287</v>
      </c>
    </row>
    <row r="874" spans="1:3">
      <c r="A874" s="17" t="s">
        <v>1311</v>
      </c>
      <c r="B874" s="17" t="s">
        <v>1312</v>
      </c>
      <c r="C874" s="18" t="s">
        <v>287</v>
      </c>
    </row>
    <row r="875" spans="1:3">
      <c r="A875" s="17" t="s">
        <v>1421</v>
      </c>
      <c r="B875" s="17" t="s">
        <v>1422</v>
      </c>
      <c r="C875" s="18" t="s">
        <v>287</v>
      </c>
    </row>
    <row r="876" spans="1:3">
      <c r="A876" s="17" t="s">
        <v>1724</v>
      </c>
      <c r="B876" s="17" t="s">
        <v>1725</v>
      </c>
      <c r="C876" s="18" t="s">
        <v>287</v>
      </c>
    </row>
    <row r="877" spans="1:3">
      <c r="A877" s="17" t="s">
        <v>1726</v>
      </c>
      <c r="B877" s="17" t="s">
        <v>1727</v>
      </c>
      <c r="C877" s="18" t="s">
        <v>287</v>
      </c>
    </row>
    <row r="878" spans="1:3">
      <c r="A878" s="17" t="s">
        <v>1728</v>
      </c>
      <c r="B878" s="17" t="s">
        <v>1729</v>
      </c>
      <c r="C878" s="18" t="s">
        <v>287</v>
      </c>
    </row>
    <row r="879" spans="1:3">
      <c r="A879" s="17" t="s">
        <v>1730</v>
      </c>
      <c r="B879" s="17" t="s">
        <v>1731</v>
      </c>
      <c r="C879" s="18" t="s">
        <v>287</v>
      </c>
    </row>
    <row r="880" spans="1:3">
      <c r="A880" s="17" t="s">
        <v>1732</v>
      </c>
      <c r="B880" s="17" t="s">
        <v>1733</v>
      </c>
      <c r="C880" s="18" t="s">
        <v>287</v>
      </c>
    </row>
    <row r="881" spans="1:3">
      <c r="A881" s="17" t="s">
        <v>1734</v>
      </c>
      <c r="B881" s="17" t="s">
        <v>1735</v>
      </c>
      <c r="C881" s="18" t="s">
        <v>287</v>
      </c>
    </row>
    <row r="882" spans="1:3">
      <c r="A882" s="17" t="s">
        <v>1736</v>
      </c>
      <c r="B882" s="17" t="s">
        <v>1737</v>
      </c>
      <c r="C882" s="18" t="s">
        <v>287</v>
      </c>
    </row>
    <row r="883" spans="1:3">
      <c r="A883" s="17" t="s">
        <v>1738</v>
      </c>
      <c r="B883" s="17" t="s">
        <v>1739</v>
      </c>
      <c r="C883" s="18" t="s">
        <v>287</v>
      </c>
    </row>
    <row r="884" spans="1:3">
      <c r="A884" s="17" t="s">
        <v>1740</v>
      </c>
      <c r="B884" s="17" t="s">
        <v>1741</v>
      </c>
      <c r="C884" s="18" t="s">
        <v>287</v>
      </c>
    </row>
    <row r="885" spans="1:3">
      <c r="A885" s="17" t="s">
        <v>1742</v>
      </c>
      <c r="B885" s="17" t="s">
        <v>1743</v>
      </c>
      <c r="C885" s="18" t="s">
        <v>287</v>
      </c>
    </row>
    <row r="886" spans="1:3">
      <c r="A886" s="17" t="s">
        <v>1744</v>
      </c>
      <c r="B886" s="17" t="s">
        <v>1745</v>
      </c>
      <c r="C886" s="18" t="s">
        <v>287</v>
      </c>
    </row>
    <row r="887" spans="1:3">
      <c r="A887" s="17" t="s">
        <v>1313</v>
      </c>
      <c r="B887" s="17" t="s">
        <v>1314</v>
      </c>
      <c r="C887" s="18" t="s">
        <v>287</v>
      </c>
    </row>
    <row r="888" spans="1:3">
      <c r="A888" s="17" t="s">
        <v>1423</v>
      </c>
      <c r="B888" s="17" t="s">
        <v>1424</v>
      </c>
      <c r="C888" s="18" t="s">
        <v>287</v>
      </c>
    </row>
    <row r="889" spans="1:3">
      <c r="A889" s="17" t="s">
        <v>1746</v>
      </c>
      <c r="B889" s="17" t="s">
        <v>1747</v>
      </c>
      <c r="C889" s="18" t="s">
        <v>287</v>
      </c>
    </row>
    <row r="890" spans="1:3">
      <c r="A890" s="17" t="s">
        <v>1748</v>
      </c>
      <c r="B890" s="17" t="s">
        <v>1749</v>
      </c>
      <c r="C890" s="18" t="s">
        <v>287</v>
      </c>
    </row>
    <row r="891" spans="1:3">
      <c r="A891" s="17" t="s">
        <v>1750</v>
      </c>
      <c r="B891" s="17" t="s">
        <v>1751</v>
      </c>
      <c r="C891" s="18" t="s">
        <v>287</v>
      </c>
    </row>
    <row r="892" spans="1:3">
      <c r="A892" s="17" t="s">
        <v>1752</v>
      </c>
      <c r="B892" s="17" t="s">
        <v>1753</v>
      </c>
      <c r="C892" s="18" t="s">
        <v>287</v>
      </c>
    </row>
    <row r="893" spans="1:3">
      <c r="A893" s="17" t="s">
        <v>1754</v>
      </c>
      <c r="B893" s="17" t="s">
        <v>1755</v>
      </c>
      <c r="C893" s="18" t="s">
        <v>287</v>
      </c>
    </row>
    <row r="894" spans="1:3">
      <c r="A894" s="17" t="s">
        <v>1756</v>
      </c>
      <c r="B894" s="17" t="s">
        <v>1757</v>
      </c>
      <c r="C894" s="18" t="s">
        <v>287</v>
      </c>
    </row>
    <row r="895" spans="1:3">
      <c r="A895" s="17" t="s">
        <v>1758</v>
      </c>
      <c r="B895" s="17" t="s">
        <v>1759</v>
      </c>
      <c r="C895" s="18" t="s">
        <v>287</v>
      </c>
    </row>
    <row r="896" spans="1:3">
      <c r="A896" s="17" t="s">
        <v>1760</v>
      </c>
      <c r="B896" s="17" t="s">
        <v>1761</v>
      </c>
      <c r="C896" s="18" t="s">
        <v>287</v>
      </c>
    </row>
    <row r="897" spans="1:4">
      <c r="A897" s="17" t="s">
        <v>1315</v>
      </c>
      <c r="B897" s="17" t="s">
        <v>1316</v>
      </c>
      <c r="C897" s="18" t="s">
        <v>287</v>
      </c>
    </row>
    <row r="898" spans="1:4">
      <c r="A898" s="17" t="s">
        <v>1425</v>
      </c>
      <c r="B898" s="17" t="s">
        <v>1426</v>
      </c>
      <c r="C898" s="18" t="s">
        <v>287</v>
      </c>
    </row>
    <row r="899" spans="1:4">
      <c r="A899" s="17" t="s">
        <v>1317</v>
      </c>
      <c r="B899" s="17" t="s">
        <v>1318</v>
      </c>
      <c r="C899" s="18" t="s">
        <v>287</v>
      </c>
    </row>
    <row r="900" spans="1:4">
      <c r="A900" s="17" t="s">
        <v>1427</v>
      </c>
      <c r="B900" s="17" t="s">
        <v>1428</v>
      </c>
      <c r="C900" s="18" t="s">
        <v>287</v>
      </c>
    </row>
    <row r="901" spans="1:4">
      <c r="A901" s="17" t="s">
        <v>1319</v>
      </c>
      <c r="B901" s="17" t="s">
        <v>1320</v>
      </c>
      <c r="C901" s="18" t="s">
        <v>287</v>
      </c>
    </row>
    <row r="902" spans="1:4">
      <c r="A902" s="17" t="s">
        <v>1429</v>
      </c>
      <c r="B902" s="17" t="s">
        <v>1430</v>
      </c>
      <c r="C902" s="18" t="s">
        <v>287</v>
      </c>
    </row>
    <row r="903" spans="1:4">
      <c r="A903" s="17" t="s">
        <v>1321</v>
      </c>
      <c r="B903" s="17" t="s">
        <v>1322</v>
      </c>
      <c r="C903" s="18" t="s">
        <v>287</v>
      </c>
    </row>
    <row r="904" spans="1:4">
      <c r="A904" s="17" t="s">
        <v>1431</v>
      </c>
      <c r="B904" s="17" t="s">
        <v>1432</v>
      </c>
      <c r="C904" s="18" t="s">
        <v>287</v>
      </c>
    </row>
    <row r="905" spans="1:4">
      <c r="A905" s="17" t="s">
        <v>1762</v>
      </c>
      <c r="B905" s="17" t="s">
        <v>1763</v>
      </c>
      <c r="C905" s="18" t="s">
        <v>287</v>
      </c>
    </row>
    <row r="906" spans="1:4">
      <c r="A906" s="17" t="s">
        <v>1764</v>
      </c>
      <c r="B906" s="17" t="s">
        <v>1765</v>
      </c>
      <c r="C906" s="18" t="s">
        <v>287</v>
      </c>
    </row>
    <row r="907" spans="1:4">
      <c r="A907" s="17" t="s">
        <v>2145</v>
      </c>
      <c r="B907" s="17" t="s">
        <v>2146</v>
      </c>
      <c r="C907" s="18" t="s">
        <v>287</v>
      </c>
    </row>
    <row r="908" spans="1:4">
      <c r="A908" s="17" t="s">
        <v>310</v>
      </c>
      <c r="B908" s="17" t="s">
        <v>311</v>
      </c>
      <c r="C908" s="18" t="s">
        <v>287</v>
      </c>
    </row>
    <row r="909" spans="1:4">
      <c r="A909" s="17" t="s">
        <v>285</v>
      </c>
      <c r="B909" s="17" t="s">
        <v>286</v>
      </c>
      <c r="C909" s="18" t="s">
        <v>287</v>
      </c>
      <c r="D909" s="20"/>
    </row>
    <row r="910" spans="1:4">
      <c r="A910" s="17" t="s">
        <v>294</v>
      </c>
      <c r="B910" s="17" t="s">
        <v>295</v>
      </c>
      <c r="C910" s="18" t="s">
        <v>287</v>
      </c>
    </row>
    <row r="911" spans="1:4">
      <c r="A911" s="17" t="s">
        <v>298</v>
      </c>
      <c r="B911" s="17" t="s">
        <v>299</v>
      </c>
      <c r="C911" s="18" t="s">
        <v>287</v>
      </c>
    </row>
    <row r="912" spans="1:4">
      <c r="A912" s="17" t="s">
        <v>304</v>
      </c>
      <c r="B912" s="17" t="s">
        <v>305</v>
      </c>
      <c r="C912" s="18" t="s">
        <v>287</v>
      </c>
    </row>
    <row r="913" spans="1:3">
      <c r="A913" s="17" t="s">
        <v>1323</v>
      </c>
      <c r="B913" s="17" t="s">
        <v>1324</v>
      </c>
      <c r="C913" s="18" t="s">
        <v>287</v>
      </c>
    </row>
    <row r="914" spans="1:3">
      <c r="A914" s="17" t="s">
        <v>1433</v>
      </c>
      <c r="B914" s="17" t="s">
        <v>1434</v>
      </c>
      <c r="C914" s="18" t="s">
        <v>287</v>
      </c>
    </row>
    <row r="915" spans="1:3">
      <c r="A915" s="17" t="s">
        <v>1766</v>
      </c>
      <c r="B915" s="17" t="s">
        <v>1767</v>
      </c>
      <c r="C915" s="18" t="s">
        <v>287</v>
      </c>
    </row>
    <row r="916" spans="1:3">
      <c r="A916" s="17" t="s">
        <v>1325</v>
      </c>
      <c r="B916" s="17" t="s">
        <v>1326</v>
      </c>
      <c r="C916" s="18" t="s">
        <v>287</v>
      </c>
    </row>
    <row r="917" spans="1:3">
      <c r="A917" s="17" t="s">
        <v>1435</v>
      </c>
      <c r="B917" s="17" t="s">
        <v>1436</v>
      </c>
      <c r="C917" s="18" t="s">
        <v>287</v>
      </c>
    </row>
    <row r="918" spans="1:3">
      <c r="A918" s="17" t="s">
        <v>1768</v>
      </c>
      <c r="B918" s="17" t="s">
        <v>1769</v>
      </c>
      <c r="C918" s="18" t="s">
        <v>287</v>
      </c>
    </row>
    <row r="919" spans="1:3">
      <c r="A919" s="17" t="s">
        <v>1327</v>
      </c>
      <c r="B919" s="17" t="s">
        <v>1328</v>
      </c>
      <c r="C919" s="18" t="s">
        <v>287</v>
      </c>
    </row>
    <row r="920" spans="1:3">
      <c r="A920" s="17" t="s">
        <v>1437</v>
      </c>
      <c r="B920" s="17" t="s">
        <v>1438</v>
      </c>
      <c r="C920" s="18" t="s">
        <v>287</v>
      </c>
    </row>
    <row r="921" spans="1:3">
      <c r="A921" s="17" t="s">
        <v>346</v>
      </c>
      <c r="B921" s="17" t="s">
        <v>347</v>
      </c>
      <c r="C921" s="18" t="s">
        <v>287</v>
      </c>
    </row>
    <row r="922" spans="1:3">
      <c r="A922" s="17" t="s">
        <v>348</v>
      </c>
      <c r="B922" s="17" t="s">
        <v>349</v>
      </c>
      <c r="C922" s="18" t="s">
        <v>287</v>
      </c>
    </row>
    <row r="923" spans="1:3">
      <c r="A923" s="17" t="s">
        <v>1770</v>
      </c>
      <c r="B923" s="17" t="s">
        <v>1771</v>
      </c>
      <c r="C923" s="18" t="s">
        <v>287</v>
      </c>
    </row>
    <row r="924" spans="1:3">
      <c r="A924" s="17" t="s">
        <v>1772</v>
      </c>
      <c r="B924" s="17" t="s">
        <v>1773</v>
      </c>
      <c r="C924" s="18" t="s">
        <v>287</v>
      </c>
    </row>
    <row r="925" spans="1:3">
      <c r="A925" s="17" t="s">
        <v>342</v>
      </c>
      <c r="B925" s="17" t="s">
        <v>343</v>
      </c>
      <c r="C925" s="18" t="s">
        <v>287</v>
      </c>
    </row>
    <row r="926" spans="1:3">
      <c r="A926" s="17" t="s">
        <v>1774</v>
      </c>
      <c r="B926" s="17" t="s">
        <v>1775</v>
      </c>
      <c r="C926" s="18" t="s">
        <v>287</v>
      </c>
    </row>
    <row r="927" spans="1:3">
      <c r="A927" s="17" t="s">
        <v>1776</v>
      </c>
      <c r="B927" s="17" t="s">
        <v>1777</v>
      </c>
      <c r="C927" s="18" t="s">
        <v>287</v>
      </c>
    </row>
    <row r="928" spans="1:3">
      <c r="A928" s="17" t="s">
        <v>1778</v>
      </c>
      <c r="B928" s="17" t="s">
        <v>1779</v>
      </c>
      <c r="C928" s="18" t="s">
        <v>287</v>
      </c>
    </row>
    <row r="929" spans="1:4">
      <c r="A929" s="17" t="s">
        <v>1780</v>
      </c>
      <c r="B929" s="17" t="s">
        <v>1781</v>
      </c>
      <c r="C929" s="18" t="s">
        <v>287</v>
      </c>
    </row>
    <row r="930" spans="1:4">
      <c r="A930" s="17" t="s">
        <v>1782</v>
      </c>
      <c r="B930" s="17" t="s">
        <v>1783</v>
      </c>
      <c r="C930" s="18" t="s">
        <v>287</v>
      </c>
    </row>
    <row r="931" spans="1:4">
      <c r="A931" s="17" t="s">
        <v>1784</v>
      </c>
      <c r="B931" s="17" t="s">
        <v>1785</v>
      </c>
      <c r="C931" s="18" t="s">
        <v>287</v>
      </c>
    </row>
    <row r="932" spans="1:4">
      <c r="A932" s="17" t="s">
        <v>1329</v>
      </c>
      <c r="B932" s="17" t="s">
        <v>1330</v>
      </c>
      <c r="C932" s="18" t="s">
        <v>287</v>
      </c>
    </row>
    <row r="933" spans="1:4">
      <c r="A933" s="17" t="s">
        <v>1439</v>
      </c>
      <c r="B933" s="17" t="s">
        <v>1440</v>
      </c>
      <c r="C933" s="18" t="s">
        <v>287</v>
      </c>
    </row>
    <row r="934" spans="1:4">
      <c r="A934" s="17" t="s">
        <v>1331</v>
      </c>
      <c r="B934" s="17" t="s">
        <v>1332</v>
      </c>
      <c r="C934" s="18" t="s">
        <v>287</v>
      </c>
    </row>
    <row r="935" spans="1:4">
      <c r="A935" s="17" t="s">
        <v>1441</v>
      </c>
      <c r="B935" s="17" t="s">
        <v>1442</v>
      </c>
      <c r="C935" s="18" t="s">
        <v>287</v>
      </c>
    </row>
    <row r="936" spans="1:4">
      <c r="A936" s="17" t="s">
        <v>1786</v>
      </c>
      <c r="B936" s="17" t="s">
        <v>1787</v>
      </c>
      <c r="C936" s="18" t="s">
        <v>287</v>
      </c>
    </row>
    <row r="937" spans="1:4">
      <c r="A937" s="17" t="s">
        <v>1788</v>
      </c>
      <c r="B937" s="17" t="s">
        <v>1789</v>
      </c>
      <c r="C937" s="18" t="s">
        <v>287</v>
      </c>
    </row>
    <row r="938" spans="1:4">
      <c r="A938" s="17" t="s">
        <v>1790</v>
      </c>
      <c r="B938" s="17" t="s">
        <v>1791</v>
      </c>
      <c r="C938" s="18" t="s">
        <v>287</v>
      </c>
    </row>
    <row r="939" spans="1:4">
      <c r="A939" s="17" t="s">
        <v>338</v>
      </c>
      <c r="B939" s="17" t="s">
        <v>339</v>
      </c>
      <c r="C939" s="18" t="s">
        <v>287</v>
      </c>
    </row>
    <row r="940" spans="1:4">
      <c r="A940" s="17" t="s">
        <v>312</v>
      </c>
      <c r="B940" s="17" t="s">
        <v>313</v>
      </c>
      <c r="C940" s="18" t="s">
        <v>287</v>
      </c>
    </row>
    <row r="941" spans="1:4">
      <c r="A941" s="17" t="s">
        <v>288</v>
      </c>
      <c r="B941" s="17" t="s">
        <v>289</v>
      </c>
      <c r="C941" s="18" t="s">
        <v>287</v>
      </c>
      <c r="D941" s="20"/>
    </row>
    <row r="942" spans="1:4">
      <c r="A942" s="17" t="s">
        <v>296</v>
      </c>
      <c r="B942" s="17" t="s">
        <v>297</v>
      </c>
      <c r="C942" s="18" t="s">
        <v>287</v>
      </c>
    </row>
    <row r="943" spans="1:4">
      <c r="A943" s="17" t="s">
        <v>300</v>
      </c>
      <c r="B943" s="17" t="s">
        <v>301</v>
      </c>
      <c r="C943" s="18" t="s">
        <v>287</v>
      </c>
    </row>
    <row r="944" spans="1:4">
      <c r="A944" s="17" t="s">
        <v>306</v>
      </c>
      <c r="B944" s="17" t="s">
        <v>307</v>
      </c>
      <c r="C944" s="18" t="s">
        <v>287</v>
      </c>
    </row>
    <row r="945" spans="1:3">
      <c r="A945" s="17" t="s">
        <v>352</v>
      </c>
      <c r="B945" s="17" t="s">
        <v>353</v>
      </c>
      <c r="C945" s="18" t="s">
        <v>287</v>
      </c>
    </row>
    <row r="946" spans="1:3">
      <c r="A946" s="17" t="s">
        <v>354</v>
      </c>
      <c r="B946" s="17" t="s">
        <v>355</v>
      </c>
      <c r="C946" s="18" t="s">
        <v>287</v>
      </c>
    </row>
    <row r="947" spans="1:3">
      <c r="A947" s="17" t="s">
        <v>356</v>
      </c>
      <c r="B947" s="17" t="s">
        <v>357</v>
      </c>
      <c r="C947" s="18" t="s">
        <v>287</v>
      </c>
    </row>
    <row r="948" spans="1:3">
      <c r="A948" s="17" t="s">
        <v>358</v>
      </c>
      <c r="B948" s="17" t="s">
        <v>359</v>
      </c>
      <c r="C948" s="18" t="s">
        <v>287</v>
      </c>
    </row>
    <row r="949" spans="1:3">
      <c r="A949" s="17" t="s">
        <v>360</v>
      </c>
      <c r="B949" s="17" t="s">
        <v>361</v>
      </c>
      <c r="C949" s="18" t="s">
        <v>287</v>
      </c>
    </row>
    <row r="950" spans="1:3">
      <c r="A950" s="17" t="s">
        <v>417</v>
      </c>
      <c r="B950" s="17" t="s">
        <v>418</v>
      </c>
      <c r="C950" s="18" t="s">
        <v>287</v>
      </c>
    </row>
    <row r="951" spans="1:3">
      <c r="A951" s="17" t="s">
        <v>419</v>
      </c>
      <c r="B951" s="17" t="s">
        <v>420</v>
      </c>
      <c r="C951" s="18" t="s">
        <v>287</v>
      </c>
    </row>
    <row r="952" spans="1:3">
      <c r="A952" s="17" t="s">
        <v>421</v>
      </c>
      <c r="B952" s="17" t="s">
        <v>422</v>
      </c>
      <c r="C952" s="18" t="s">
        <v>287</v>
      </c>
    </row>
    <row r="953" spans="1:3">
      <c r="A953" s="17" t="s">
        <v>423</v>
      </c>
      <c r="B953" s="17" t="s">
        <v>424</v>
      </c>
      <c r="C953" s="18" t="s">
        <v>287</v>
      </c>
    </row>
    <row r="954" spans="1:3">
      <c r="A954" s="17" t="s">
        <v>411</v>
      </c>
      <c r="B954" s="17" t="s">
        <v>412</v>
      </c>
      <c r="C954" s="18" t="s">
        <v>287</v>
      </c>
    </row>
    <row r="955" spans="1:3">
      <c r="A955" s="17" t="s">
        <v>409</v>
      </c>
      <c r="B955" s="17" t="s">
        <v>410</v>
      </c>
      <c r="C955" s="18" t="s">
        <v>287</v>
      </c>
    </row>
    <row r="956" spans="1:3">
      <c r="A956" s="17" t="s">
        <v>413</v>
      </c>
      <c r="B956" s="17" t="s">
        <v>414</v>
      </c>
      <c r="C956" s="18" t="s">
        <v>287</v>
      </c>
    </row>
    <row r="957" spans="1:3">
      <c r="A957" s="17" t="s">
        <v>415</v>
      </c>
      <c r="B957" s="17" t="s">
        <v>416</v>
      </c>
      <c r="C957" s="18" t="s">
        <v>287</v>
      </c>
    </row>
    <row r="958" spans="1:3">
      <c r="A958" s="17" t="s">
        <v>51</v>
      </c>
      <c r="B958" s="17" t="s">
        <v>430</v>
      </c>
      <c r="C958" s="18" t="s">
        <v>287</v>
      </c>
    </row>
    <row r="959" spans="1:3">
      <c r="A959" s="17" t="s">
        <v>428</v>
      </c>
      <c r="B959" s="17" t="s">
        <v>429</v>
      </c>
      <c r="C959" s="18" t="s">
        <v>287</v>
      </c>
    </row>
    <row r="960" spans="1:3">
      <c r="A960" s="17" t="s">
        <v>425</v>
      </c>
      <c r="B960" s="17" t="s">
        <v>426</v>
      </c>
      <c r="C960" s="18" t="s">
        <v>287</v>
      </c>
    </row>
    <row r="961" spans="1:3">
      <c r="A961" s="17" t="s">
        <v>53</v>
      </c>
      <c r="B961" s="17" t="s">
        <v>427</v>
      </c>
      <c r="C961" s="18" t="s">
        <v>287</v>
      </c>
    </row>
    <row r="962" spans="1:3">
      <c r="A962" s="17" t="s">
        <v>241</v>
      </c>
      <c r="B962" s="17" t="s">
        <v>2122</v>
      </c>
      <c r="C962" s="18" t="s">
        <v>287</v>
      </c>
    </row>
    <row r="963" spans="1:3">
      <c r="C963" s="18" t="s">
        <v>287</v>
      </c>
    </row>
    <row r="964" spans="1:3">
      <c r="C964" s="18" t="s">
        <v>287</v>
      </c>
    </row>
    <row r="965" spans="1:3">
      <c r="C965" s="18" t="s">
        <v>287</v>
      </c>
    </row>
    <row r="966" spans="1:3">
      <c r="C966" s="18" t="s">
        <v>287</v>
      </c>
    </row>
    <row r="967" spans="1:3">
      <c r="C967" s="18" t="s">
        <v>287</v>
      </c>
    </row>
    <row r="968" spans="1:3">
      <c r="C968" s="18" t="s">
        <v>287</v>
      </c>
    </row>
    <row r="969" spans="1:3">
      <c r="C969" s="18" t="s">
        <v>287</v>
      </c>
    </row>
    <row r="970" spans="1:3">
      <c r="C970" s="18" t="s">
        <v>287</v>
      </c>
    </row>
    <row r="971" spans="1:3">
      <c r="C971" s="18" t="s">
        <v>287</v>
      </c>
    </row>
    <row r="972" spans="1:3">
      <c r="C972" s="18" t="s">
        <v>287</v>
      </c>
    </row>
    <row r="973" spans="1:3">
      <c r="C973" s="18" t="s">
        <v>287</v>
      </c>
    </row>
    <row r="974" spans="1:3">
      <c r="C974" s="18" t="s">
        <v>287</v>
      </c>
    </row>
    <row r="975" spans="1:3">
      <c r="C975" s="18" t="s">
        <v>287</v>
      </c>
    </row>
    <row r="976" spans="1:3">
      <c r="C976" s="18" t="s">
        <v>2147</v>
      </c>
    </row>
    <row r="977" spans="3:3">
      <c r="C977" s="18" t="s">
        <v>287</v>
      </c>
    </row>
    <row r="978" spans="3:3">
      <c r="C978" s="18" t="s">
        <v>287</v>
      </c>
    </row>
    <row r="979" spans="3:3">
      <c r="C979" s="18" t="s">
        <v>287</v>
      </c>
    </row>
    <row r="980" spans="3:3">
      <c r="C980" s="18" t="s">
        <v>287</v>
      </c>
    </row>
    <row r="981" spans="3:3">
      <c r="C981" s="18" t="s">
        <v>287</v>
      </c>
    </row>
    <row r="982" spans="3:3">
      <c r="C982" s="18" t="s">
        <v>287</v>
      </c>
    </row>
    <row r="983" spans="3:3">
      <c r="C983" s="18" t="s">
        <v>287</v>
      </c>
    </row>
    <row r="984" spans="3:3">
      <c r="C984" s="18" t="s">
        <v>287</v>
      </c>
    </row>
    <row r="985" spans="3:3">
      <c r="C985" s="18" t="s">
        <v>287</v>
      </c>
    </row>
    <row r="986" spans="3:3">
      <c r="C986" s="18" t="s">
        <v>287</v>
      </c>
    </row>
    <row r="987" spans="3:3">
      <c r="C987" s="18" t="s">
        <v>287</v>
      </c>
    </row>
    <row r="988" spans="3:3">
      <c r="C988" s="18" t="s">
        <v>287</v>
      </c>
    </row>
    <row r="989" spans="3:3">
      <c r="C989" s="18" t="s">
        <v>287</v>
      </c>
    </row>
    <row r="990" spans="3:3">
      <c r="C990" s="18" t="s">
        <v>287</v>
      </c>
    </row>
    <row r="991" spans="3:3">
      <c r="C991" s="18" t="s">
        <v>287</v>
      </c>
    </row>
    <row r="992" spans="3:3">
      <c r="C992" s="18" t="s">
        <v>287</v>
      </c>
    </row>
    <row r="993" spans="3:3">
      <c r="C993" s="18" t="s">
        <v>287</v>
      </c>
    </row>
    <row r="994" spans="3:3">
      <c r="C994" s="18" t="s">
        <v>287</v>
      </c>
    </row>
    <row r="995" spans="3:3">
      <c r="C995" s="18" t="s">
        <v>287</v>
      </c>
    </row>
    <row r="996" spans="3:3">
      <c r="C996" s="18" t="s">
        <v>287</v>
      </c>
    </row>
    <row r="997" spans="3:3">
      <c r="C997" s="18"/>
    </row>
    <row r="998" spans="3:3">
      <c r="C998" s="18" t="s">
        <v>287</v>
      </c>
    </row>
    <row r="999" spans="3:3">
      <c r="C999" s="18" t="s">
        <v>287</v>
      </c>
    </row>
    <row r="1000" spans="3:3">
      <c r="C1000" s="18" t="s">
        <v>287</v>
      </c>
    </row>
    <row r="1001" spans="3:3">
      <c r="C1001" s="18" t="s">
        <v>287</v>
      </c>
    </row>
    <row r="1002" spans="3:3">
      <c r="C1002" s="18" t="s">
        <v>287</v>
      </c>
    </row>
    <row r="1003" spans="3:3">
      <c r="C1003" s="18" t="s">
        <v>287</v>
      </c>
    </row>
    <row r="1004" spans="3:3">
      <c r="C1004" s="18" t="s">
        <v>287</v>
      </c>
    </row>
    <row r="1005" spans="3:3">
      <c r="C1005" s="18" t="s">
        <v>287</v>
      </c>
    </row>
    <row r="1006" spans="3:3">
      <c r="C1006" s="18" t="s">
        <v>287</v>
      </c>
    </row>
    <row r="1007" spans="3:3">
      <c r="C1007" s="18" t="s">
        <v>287</v>
      </c>
    </row>
    <row r="1008" spans="3:3">
      <c r="C1008" s="18" t="s">
        <v>287</v>
      </c>
    </row>
    <row r="1009" spans="3:3">
      <c r="C1009" s="18" t="s">
        <v>287</v>
      </c>
    </row>
    <row r="1010" spans="3:3">
      <c r="C1010" s="18" t="s">
        <v>287</v>
      </c>
    </row>
  </sheetData>
  <sortState xmlns:xlrd2="http://schemas.microsoft.com/office/spreadsheetml/2017/richdata2" ref="A3:E1010">
    <sortCondition ref="A1"/>
  </sortState>
  <conditionalFormatting sqref="B545">
    <cfRule type="duplicateValues" dxfId="52" priority="36"/>
  </conditionalFormatting>
  <conditionalFormatting sqref="B51">
    <cfRule type="duplicateValues" dxfId="51" priority="35"/>
  </conditionalFormatting>
  <conditionalFormatting sqref="B52">
    <cfRule type="duplicateValues" dxfId="50" priority="34"/>
  </conditionalFormatting>
  <conditionalFormatting sqref="B62">
    <cfRule type="duplicateValues" dxfId="49" priority="33"/>
  </conditionalFormatting>
  <conditionalFormatting sqref="B64:B65">
    <cfRule type="duplicateValues" dxfId="48" priority="32"/>
  </conditionalFormatting>
  <conditionalFormatting sqref="B482:B483">
    <cfRule type="duplicateValues" dxfId="47" priority="31"/>
  </conditionalFormatting>
  <conditionalFormatting sqref="B518:B519">
    <cfRule type="duplicateValues" dxfId="46" priority="30"/>
  </conditionalFormatting>
  <conditionalFormatting sqref="B3:B35">
    <cfRule type="duplicateValues" dxfId="45" priority="37"/>
  </conditionalFormatting>
  <conditionalFormatting sqref="B57">
    <cfRule type="duplicateValues" dxfId="44" priority="29"/>
  </conditionalFormatting>
  <conditionalFormatting sqref="B44">
    <cfRule type="duplicateValues" dxfId="43" priority="28"/>
  </conditionalFormatting>
  <conditionalFormatting sqref="B433">
    <cfRule type="duplicateValues" dxfId="42" priority="27"/>
  </conditionalFormatting>
  <conditionalFormatting sqref="B546:B555 B557:B609">
    <cfRule type="duplicateValues" dxfId="41" priority="38"/>
  </conditionalFormatting>
  <conditionalFormatting sqref="B359:B432 B58 B63 B66 B484:B517 B520:B544 B47 B90:B356 B434:B481 B36:B37 B61 B49 B39:B43">
    <cfRule type="duplicateValues" dxfId="40" priority="39"/>
  </conditionalFormatting>
  <conditionalFormatting sqref="B556">
    <cfRule type="duplicateValues" dxfId="39" priority="26"/>
  </conditionalFormatting>
  <conditionalFormatting sqref="B3:B37 B656:B714 B47 B51:B52 B57:B58 B751:B771 B774:B943 B61:B625 B49 B627:B629 B39:B44 B631:B654 B716:B748">
    <cfRule type="duplicateValues" dxfId="38" priority="25"/>
  </conditionalFormatting>
  <conditionalFormatting sqref="B655">
    <cfRule type="duplicateValues" dxfId="37" priority="24"/>
  </conditionalFormatting>
  <conditionalFormatting sqref="B45:B46">
    <cfRule type="duplicateValues" dxfId="36" priority="23"/>
  </conditionalFormatting>
  <conditionalFormatting sqref="B45:B46">
    <cfRule type="duplicateValues" dxfId="35" priority="22"/>
  </conditionalFormatting>
  <conditionalFormatting sqref="B50">
    <cfRule type="duplicateValues" dxfId="34" priority="21"/>
  </conditionalFormatting>
  <conditionalFormatting sqref="B50">
    <cfRule type="duplicateValues" dxfId="33" priority="20"/>
  </conditionalFormatting>
  <conditionalFormatting sqref="B53:B54">
    <cfRule type="duplicateValues" dxfId="32" priority="19"/>
  </conditionalFormatting>
  <conditionalFormatting sqref="B53:B54">
    <cfRule type="duplicateValues" dxfId="31" priority="18"/>
  </conditionalFormatting>
  <conditionalFormatting sqref="B55:B56">
    <cfRule type="duplicateValues" dxfId="30" priority="17"/>
  </conditionalFormatting>
  <conditionalFormatting sqref="B55:B56">
    <cfRule type="duplicateValues" dxfId="29" priority="16"/>
  </conditionalFormatting>
  <conditionalFormatting sqref="B749:B750">
    <cfRule type="duplicateValues" dxfId="28" priority="15"/>
  </conditionalFormatting>
  <conditionalFormatting sqref="B772:B773">
    <cfRule type="duplicateValues" dxfId="27" priority="14"/>
  </conditionalFormatting>
  <conditionalFormatting sqref="B59">
    <cfRule type="duplicateValues" dxfId="26" priority="13"/>
  </conditionalFormatting>
  <conditionalFormatting sqref="B59">
    <cfRule type="duplicateValues" dxfId="25" priority="12"/>
  </conditionalFormatting>
  <conditionalFormatting sqref="B48">
    <cfRule type="duplicateValues" dxfId="24" priority="11"/>
  </conditionalFormatting>
  <conditionalFormatting sqref="B48">
    <cfRule type="duplicateValues" dxfId="23" priority="10"/>
  </conditionalFormatting>
  <conditionalFormatting sqref="B60">
    <cfRule type="duplicateValues" dxfId="22" priority="9"/>
  </conditionalFormatting>
  <conditionalFormatting sqref="B60">
    <cfRule type="duplicateValues" dxfId="21" priority="8"/>
  </conditionalFormatting>
  <conditionalFormatting sqref="B626">
    <cfRule type="duplicateValues" dxfId="20" priority="7"/>
  </conditionalFormatting>
  <conditionalFormatting sqref="B38">
    <cfRule type="duplicateValues" dxfId="19" priority="6"/>
  </conditionalFormatting>
  <conditionalFormatting sqref="B38">
    <cfRule type="duplicateValues" dxfId="18" priority="5"/>
  </conditionalFormatting>
  <conditionalFormatting sqref="B630">
    <cfRule type="duplicateValues" dxfId="17" priority="4"/>
  </conditionalFormatting>
  <conditionalFormatting sqref="B715">
    <cfRule type="duplicateValues" dxfId="16" priority="3"/>
  </conditionalFormatting>
  <conditionalFormatting sqref="B3:B962">
    <cfRule type="duplicateValues" dxfId="15" priority="2"/>
  </conditionalFormatting>
  <conditionalFormatting sqref="B3:B962">
    <cfRule type="duplicateValues" dxfId="14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96"/>
  <sheetViews>
    <sheetView view="pageBreakPreview" topLeftCell="A31" zoomScale="85" zoomScaleNormal="100" zoomScaleSheetLayoutView="85" workbookViewId="0">
      <selection activeCell="F34" sqref="F1:G1048576"/>
    </sheetView>
  </sheetViews>
  <sheetFormatPr defaultRowHeight="15"/>
  <cols>
    <col min="1" max="1" width="7" style="8" customWidth="1"/>
    <col min="2" max="2" width="36" style="8" hidden="1" customWidth="1"/>
    <col min="3" max="3" width="76" style="8" customWidth="1"/>
    <col min="4" max="4" width="18" style="11" hidden="1" customWidth="1"/>
    <col min="5" max="5" width="0.28515625" style="8" hidden="1" customWidth="1"/>
    <col min="6" max="6" width="19.85546875" style="63" customWidth="1"/>
    <col min="7" max="7" width="19.85546875" style="64" customWidth="1"/>
    <col min="8" max="16384" width="9.140625" style="8"/>
  </cols>
  <sheetData>
    <row r="1" spans="1:7" ht="21" customHeight="1">
      <c r="A1" s="120">
        <v>45176</v>
      </c>
      <c r="B1" s="121"/>
      <c r="C1" s="121"/>
      <c r="D1" s="121"/>
      <c r="E1" s="121"/>
      <c r="F1" s="121"/>
      <c r="G1" s="121"/>
    </row>
    <row r="2" spans="1:7" ht="18" customHeight="1">
      <c r="A2" s="127" t="s">
        <v>55</v>
      </c>
      <c r="B2" s="133" t="s">
        <v>2534</v>
      </c>
      <c r="C2" s="129" t="s">
        <v>56</v>
      </c>
      <c r="D2" s="135" t="s">
        <v>2533</v>
      </c>
      <c r="E2" s="135"/>
      <c r="F2" s="131" t="s">
        <v>2532</v>
      </c>
      <c r="G2" s="131"/>
    </row>
    <row r="3" spans="1:7" ht="18" customHeight="1">
      <c r="A3" s="128"/>
      <c r="B3" s="134"/>
      <c r="C3" s="130"/>
      <c r="D3" s="136"/>
      <c r="E3" s="136"/>
      <c r="F3" s="132"/>
      <c r="G3" s="132"/>
    </row>
    <row r="4" spans="1:7" ht="18" customHeight="1">
      <c r="A4" s="23"/>
      <c r="B4" s="79"/>
      <c r="C4" s="23" t="s">
        <v>77</v>
      </c>
      <c r="D4" s="45" t="s">
        <v>79</v>
      </c>
      <c r="E4" s="45" t="s">
        <v>80</v>
      </c>
      <c r="F4" s="62" t="s">
        <v>79</v>
      </c>
      <c r="G4" s="62" t="s">
        <v>80</v>
      </c>
    </row>
    <row r="5" spans="1:7" ht="18" customHeight="1">
      <c r="A5" s="9">
        <v>1</v>
      </c>
      <c r="B5" s="73" t="s">
        <v>473</v>
      </c>
      <c r="C5" s="7" t="s">
        <v>1</v>
      </c>
      <c r="D5" s="43">
        <f>F5/1.11</f>
        <v>18018.018018018018</v>
      </c>
      <c r="E5" s="43">
        <f>G5/1.11</f>
        <v>18018.018018018018</v>
      </c>
      <c r="F5" s="56">
        <v>20000</v>
      </c>
      <c r="G5" s="56">
        <v>20000</v>
      </c>
    </row>
    <row r="6" spans="1:7" ht="18" customHeight="1">
      <c r="A6" s="9">
        <v>2</v>
      </c>
      <c r="B6" s="73" t="s">
        <v>475</v>
      </c>
      <c r="C6" s="7" t="s">
        <v>2</v>
      </c>
      <c r="D6" s="43">
        <f t="shared" ref="D6:D79" si="0">F6/1.11</f>
        <v>22522.522522522522</v>
      </c>
      <c r="E6" s="43">
        <f t="shared" ref="E6:E79" si="1">G6/1.11</f>
        <v>27027.027027027023</v>
      </c>
      <c r="F6" s="56">
        <v>25000</v>
      </c>
      <c r="G6" s="56">
        <v>30000</v>
      </c>
    </row>
    <row r="7" spans="1:7" ht="18" customHeight="1">
      <c r="A7" s="9">
        <v>3</v>
      </c>
      <c r="B7" s="73" t="s">
        <v>2572</v>
      </c>
      <c r="C7" s="7" t="s">
        <v>2570</v>
      </c>
      <c r="D7" s="43"/>
      <c r="E7" s="43"/>
      <c r="F7" s="56">
        <v>15000</v>
      </c>
      <c r="G7" s="56">
        <v>15000</v>
      </c>
    </row>
    <row r="8" spans="1:7" ht="18" customHeight="1">
      <c r="A8" s="9">
        <v>4</v>
      </c>
      <c r="B8" s="73" t="s">
        <v>2572</v>
      </c>
      <c r="C8" s="7" t="s">
        <v>2662</v>
      </c>
      <c r="D8" s="43"/>
      <c r="E8" s="43"/>
      <c r="F8" s="56">
        <v>20000</v>
      </c>
      <c r="G8" s="56">
        <v>20000</v>
      </c>
    </row>
    <row r="9" spans="1:7" ht="18" customHeight="1">
      <c r="A9" s="9">
        <v>5</v>
      </c>
      <c r="B9" s="73" t="s">
        <v>2573</v>
      </c>
      <c r="C9" s="7" t="s">
        <v>2571</v>
      </c>
      <c r="D9" s="43"/>
      <c r="E9" s="43"/>
      <c r="F9" s="56">
        <v>15000</v>
      </c>
      <c r="G9" s="56">
        <v>15000</v>
      </c>
    </row>
    <row r="10" spans="1:7" ht="18" customHeight="1">
      <c r="A10" s="9">
        <v>6</v>
      </c>
      <c r="B10" s="73" t="e">
        <v>#N/A</v>
      </c>
      <c r="C10" s="2" t="s">
        <v>116</v>
      </c>
      <c r="D10" s="43">
        <f t="shared" si="0"/>
        <v>45045.045045045044</v>
      </c>
      <c r="E10" s="43">
        <f t="shared" si="1"/>
        <v>45045.045045045044</v>
      </c>
      <c r="F10" s="87">
        <v>50000</v>
      </c>
      <c r="G10" s="87">
        <v>50000</v>
      </c>
    </row>
    <row r="11" spans="1:7" ht="18" customHeight="1">
      <c r="A11" s="9">
        <v>7</v>
      </c>
      <c r="B11" s="73" t="e">
        <v>#N/A</v>
      </c>
      <c r="C11" s="2" t="s">
        <v>115</v>
      </c>
      <c r="D11" s="43">
        <f t="shared" si="0"/>
        <v>4504.5045045045044</v>
      </c>
      <c r="E11" s="43">
        <f t="shared" si="1"/>
        <v>4504.5045045045044</v>
      </c>
      <c r="F11" s="87">
        <v>5000</v>
      </c>
      <c r="G11" s="56">
        <v>5000</v>
      </c>
    </row>
    <row r="12" spans="1:7" ht="18" customHeight="1">
      <c r="A12" s="9">
        <v>8</v>
      </c>
      <c r="B12" s="73" t="s">
        <v>2422</v>
      </c>
      <c r="C12" s="2" t="s">
        <v>2582</v>
      </c>
      <c r="D12" s="43">
        <f t="shared" si="0"/>
        <v>1351351.3513513512</v>
      </c>
      <c r="E12" s="43">
        <f t="shared" si="1"/>
        <v>1486486.4864864864</v>
      </c>
      <c r="F12" s="87">
        <v>1500000</v>
      </c>
      <c r="G12" s="87">
        <v>1650000</v>
      </c>
    </row>
    <row r="13" spans="1:7" ht="18" customHeight="1">
      <c r="A13" s="9">
        <v>9</v>
      </c>
      <c r="B13" s="73"/>
      <c r="C13" s="2" t="s">
        <v>117</v>
      </c>
      <c r="D13" s="43"/>
      <c r="E13" s="43"/>
      <c r="F13" s="87">
        <v>2000000</v>
      </c>
      <c r="G13" s="87">
        <v>2000000</v>
      </c>
    </row>
    <row r="14" spans="1:7" ht="18" customHeight="1">
      <c r="A14" s="9">
        <v>10</v>
      </c>
      <c r="B14" s="73"/>
      <c r="C14" s="2" t="s">
        <v>2583</v>
      </c>
      <c r="D14" s="43"/>
      <c r="E14" s="43"/>
      <c r="F14" s="87">
        <v>13000000</v>
      </c>
      <c r="G14" s="87">
        <v>13000000</v>
      </c>
    </row>
    <row r="15" spans="1:7" ht="18" customHeight="1">
      <c r="A15" s="9">
        <v>11</v>
      </c>
      <c r="B15" s="73"/>
      <c r="C15" s="2" t="s">
        <v>2584</v>
      </c>
      <c r="D15" s="43"/>
      <c r="E15" s="43"/>
      <c r="F15" s="87">
        <v>25000000</v>
      </c>
      <c r="G15" s="87">
        <v>25000000</v>
      </c>
    </row>
    <row r="16" spans="1:7" ht="18" customHeight="1">
      <c r="A16" s="9">
        <v>12</v>
      </c>
      <c r="B16" s="73" t="s">
        <v>2497</v>
      </c>
      <c r="C16" s="7" t="s">
        <v>2496</v>
      </c>
      <c r="D16" s="43">
        <f t="shared" si="0"/>
        <v>99999999.999999985</v>
      </c>
      <c r="E16" s="43">
        <f t="shared" si="1"/>
        <v>99999999.999999985</v>
      </c>
      <c r="F16" s="87">
        <v>111000000</v>
      </c>
      <c r="G16" s="87">
        <v>111000000</v>
      </c>
    </row>
    <row r="17" spans="1:8" ht="18" customHeight="1">
      <c r="A17" s="9">
        <v>13</v>
      </c>
      <c r="B17" s="73" t="s">
        <v>476</v>
      </c>
      <c r="C17" s="7" t="s">
        <v>3</v>
      </c>
      <c r="D17" s="43">
        <f t="shared" si="0"/>
        <v>2252252.2522522518</v>
      </c>
      <c r="E17" s="43">
        <f t="shared" si="1"/>
        <v>2252252.2522522518</v>
      </c>
      <c r="F17" s="56">
        <v>2500000</v>
      </c>
      <c r="G17" s="56">
        <v>2500000</v>
      </c>
    </row>
    <row r="18" spans="1:8" ht="18" customHeight="1">
      <c r="A18" s="9">
        <v>14</v>
      </c>
      <c r="B18" s="73" t="s">
        <v>2154</v>
      </c>
      <c r="C18" s="7" t="s">
        <v>4</v>
      </c>
      <c r="D18" s="43">
        <f t="shared" si="0"/>
        <v>644144.14414414414</v>
      </c>
      <c r="E18" s="43">
        <f t="shared" si="1"/>
        <v>644144.14414414414</v>
      </c>
      <c r="F18" s="56">
        <v>715000</v>
      </c>
      <c r="G18" s="56">
        <v>715000</v>
      </c>
    </row>
    <row r="19" spans="1:8" ht="18" customHeight="1">
      <c r="A19" s="9">
        <v>15</v>
      </c>
      <c r="B19" s="73" t="s">
        <v>477</v>
      </c>
      <c r="C19" s="7" t="s">
        <v>5</v>
      </c>
      <c r="D19" s="43">
        <f t="shared" si="0"/>
        <v>202702.70270270269</v>
      </c>
      <c r="E19" s="43">
        <f t="shared" si="1"/>
        <v>202702.70270270269</v>
      </c>
      <c r="F19" s="56">
        <v>225000</v>
      </c>
      <c r="G19" s="56">
        <v>225000</v>
      </c>
    </row>
    <row r="20" spans="1:8" ht="18" customHeight="1">
      <c r="A20" s="9">
        <v>16</v>
      </c>
      <c r="B20" s="73" t="s">
        <v>2538</v>
      </c>
      <c r="C20" s="7" t="s">
        <v>6</v>
      </c>
      <c r="D20" s="43">
        <f t="shared" si="0"/>
        <v>0</v>
      </c>
      <c r="E20" s="43">
        <f t="shared" si="1"/>
        <v>0</v>
      </c>
      <c r="F20" s="56"/>
      <c r="G20" s="56"/>
    </row>
    <row r="21" spans="1:8" ht="18" customHeight="1">
      <c r="A21" s="9">
        <v>17</v>
      </c>
      <c r="B21" s="73" t="s">
        <v>2539</v>
      </c>
      <c r="C21" s="7" t="s">
        <v>7</v>
      </c>
      <c r="D21" s="43">
        <f t="shared" si="0"/>
        <v>0</v>
      </c>
      <c r="E21" s="43">
        <f t="shared" si="1"/>
        <v>0</v>
      </c>
      <c r="F21" s="56"/>
      <c r="G21" s="56"/>
    </row>
    <row r="22" spans="1:8" ht="18" customHeight="1">
      <c r="A22" s="9">
        <v>18</v>
      </c>
      <c r="B22" s="73" t="s">
        <v>2540</v>
      </c>
      <c r="C22" s="7" t="s">
        <v>8</v>
      </c>
      <c r="D22" s="43">
        <f t="shared" si="0"/>
        <v>0</v>
      </c>
      <c r="E22" s="43">
        <f t="shared" si="1"/>
        <v>0</v>
      </c>
      <c r="F22" s="56"/>
      <c r="G22" s="56"/>
    </row>
    <row r="23" spans="1:8" ht="18" customHeight="1">
      <c r="A23" s="9">
        <v>19</v>
      </c>
      <c r="B23" s="73" t="s">
        <v>478</v>
      </c>
      <c r="C23" s="7" t="s">
        <v>9</v>
      </c>
      <c r="D23" s="43">
        <f t="shared" si="0"/>
        <v>198198.19819819817</v>
      </c>
      <c r="E23" s="43">
        <f t="shared" si="1"/>
        <v>198198.19819819817</v>
      </c>
      <c r="F23" s="56">
        <v>220000</v>
      </c>
      <c r="G23" s="56">
        <v>220000</v>
      </c>
      <c r="H23" s="8" t="s">
        <v>243</v>
      </c>
    </row>
    <row r="24" spans="1:8" ht="18" customHeight="1">
      <c r="A24" s="9">
        <v>20</v>
      </c>
      <c r="B24" s="73" t="s">
        <v>479</v>
      </c>
      <c r="C24" s="2" t="s">
        <v>15</v>
      </c>
      <c r="D24" s="43">
        <f t="shared" si="0"/>
        <v>7207.2072072072069</v>
      </c>
      <c r="E24" s="43">
        <f t="shared" si="1"/>
        <v>7207.2072072072069</v>
      </c>
      <c r="F24" s="87">
        <v>8000</v>
      </c>
      <c r="G24" s="87">
        <v>8000</v>
      </c>
    </row>
    <row r="25" spans="1:8" ht="18" customHeight="1">
      <c r="A25" s="9">
        <v>21</v>
      </c>
      <c r="B25" s="73" t="s">
        <v>480</v>
      </c>
      <c r="C25" s="2" t="s">
        <v>16</v>
      </c>
      <c r="D25" s="43">
        <f t="shared" si="0"/>
        <v>11711.71171171171</v>
      </c>
      <c r="E25" s="43">
        <f t="shared" si="1"/>
        <v>11711.71171171171</v>
      </c>
      <c r="F25" s="87">
        <v>13000</v>
      </c>
      <c r="G25" s="87">
        <v>13000</v>
      </c>
    </row>
    <row r="26" spans="1:8" ht="18" customHeight="1">
      <c r="A26" s="9">
        <v>22</v>
      </c>
      <c r="B26" s="73"/>
      <c r="C26" s="2" t="s">
        <v>2663</v>
      </c>
      <c r="D26" s="43">
        <f t="shared" si="0"/>
        <v>2252.2522522522522</v>
      </c>
      <c r="E26" s="43"/>
      <c r="F26" s="87">
        <v>2500</v>
      </c>
      <c r="G26" s="87">
        <v>2500</v>
      </c>
    </row>
    <row r="27" spans="1:8" ht="18" customHeight="1">
      <c r="A27" s="9">
        <v>23</v>
      </c>
      <c r="B27" s="73"/>
      <c r="C27" s="2" t="s">
        <v>2664</v>
      </c>
      <c r="D27" s="43"/>
      <c r="E27" s="43"/>
      <c r="F27" s="87">
        <v>2500</v>
      </c>
      <c r="G27" s="87">
        <v>2500</v>
      </c>
    </row>
    <row r="28" spans="1:8" ht="18" customHeight="1">
      <c r="A28" s="9">
        <v>24</v>
      </c>
      <c r="B28" s="73" t="s">
        <v>472</v>
      </c>
      <c r="C28" s="2" t="s">
        <v>99</v>
      </c>
      <c r="D28" s="43">
        <f t="shared" si="0"/>
        <v>144144.14414414414</v>
      </c>
      <c r="E28" s="43">
        <f t="shared" si="1"/>
        <v>144144.14414414414</v>
      </c>
      <c r="F28" s="87">
        <v>160000</v>
      </c>
      <c r="G28" s="87">
        <v>160000</v>
      </c>
    </row>
    <row r="29" spans="1:8" ht="18" customHeight="1">
      <c r="A29" s="9">
        <v>25</v>
      </c>
      <c r="B29" s="73" t="e">
        <v>#N/A</v>
      </c>
      <c r="C29" s="2" t="s">
        <v>17</v>
      </c>
      <c r="D29" s="43">
        <f t="shared" si="0"/>
        <v>198198.19819819817</v>
      </c>
      <c r="E29" s="43">
        <f t="shared" si="1"/>
        <v>198198.19819819817</v>
      </c>
      <c r="F29" s="87">
        <v>220000</v>
      </c>
      <c r="G29" s="87">
        <v>220000</v>
      </c>
    </row>
    <row r="30" spans="1:8" ht="18" customHeight="1">
      <c r="A30" s="9">
        <v>26</v>
      </c>
      <c r="B30" s="73" t="s">
        <v>2428</v>
      </c>
      <c r="C30" s="2" t="s">
        <v>96</v>
      </c>
      <c r="D30" s="43">
        <f t="shared" si="0"/>
        <v>83333.333333333328</v>
      </c>
      <c r="E30" s="43">
        <f t="shared" si="1"/>
        <v>83333.333333333328</v>
      </c>
      <c r="F30" s="87">
        <v>92500</v>
      </c>
      <c r="G30" s="87">
        <v>92500</v>
      </c>
    </row>
    <row r="31" spans="1:8" ht="18" customHeight="1">
      <c r="A31" s="9">
        <v>27</v>
      </c>
      <c r="B31" s="73" t="s">
        <v>2457</v>
      </c>
      <c r="C31" s="2" t="s">
        <v>98</v>
      </c>
      <c r="D31" s="43">
        <f t="shared" si="0"/>
        <v>78828.828828828817</v>
      </c>
      <c r="E31" s="43">
        <f t="shared" si="1"/>
        <v>78828.828828828817</v>
      </c>
      <c r="F31" s="87">
        <v>87500</v>
      </c>
      <c r="G31" s="87">
        <v>87500</v>
      </c>
    </row>
    <row r="32" spans="1:8" ht="18" customHeight="1">
      <c r="A32" s="9">
        <v>28</v>
      </c>
      <c r="B32" s="73" t="s">
        <v>466</v>
      </c>
      <c r="C32" s="2" t="s">
        <v>97</v>
      </c>
      <c r="D32" s="43">
        <f t="shared" si="0"/>
        <v>83333.333333333328</v>
      </c>
      <c r="E32" s="43">
        <f t="shared" si="1"/>
        <v>83333.333333333328</v>
      </c>
      <c r="F32" s="87">
        <v>92500</v>
      </c>
      <c r="G32" s="87">
        <v>92500</v>
      </c>
    </row>
    <row r="33" spans="1:7" ht="18" customHeight="1">
      <c r="A33" s="9">
        <v>29</v>
      </c>
      <c r="B33" s="73" t="s">
        <v>466</v>
      </c>
      <c r="C33" s="2" t="s">
        <v>2399</v>
      </c>
      <c r="D33" s="43">
        <f t="shared" ref="D33" si="2">F33/1.11</f>
        <v>78828.828828828817</v>
      </c>
      <c r="E33" s="43">
        <f t="shared" ref="E33" si="3">G33/1.11</f>
        <v>78828.828828828817</v>
      </c>
      <c r="F33" s="87">
        <v>87500</v>
      </c>
      <c r="G33" s="87">
        <v>87500</v>
      </c>
    </row>
    <row r="34" spans="1:7" ht="18" customHeight="1">
      <c r="A34" s="9">
        <v>30</v>
      </c>
      <c r="B34" s="73" t="s">
        <v>462</v>
      </c>
      <c r="C34" s="2" t="s">
        <v>100</v>
      </c>
      <c r="D34" s="43">
        <f t="shared" si="0"/>
        <v>130630.63063063062</v>
      </c>
      <c r="E34" s="43">
        <f t="shared" si="1"/>
        <v>130630.63063063062</v>
      </c>
      <c r="F34" s="87">
        <v>145000</v>
      </c>
      <c r="G34" s="56">
        <v>145000</v>
      </c>
    </row>
    <row r="35" spans="1:7">
      <c r="A35" s="9">
        <v>31</v>
      </c>
      <c r="B35" s="73" t="s">
        <v>460</v>
      </c>
      <c r="C35" s="2" t="s">
        <v>18</v>
      </c>
      <c r="D35" s="43">
        <f t="shared" si="0"/>
        <v>270270.27027027024</v>
      </c>
      <c r="E35" s="43">
        <f t="shared" si="1"/>
        <v>0</v>
      </c>
      <c r="F35" s="87">
        <v>300000</v>
      </c>
      <c r="G35" s="56"/>
    </row>
    <row r="36" spans="1:7">
      <c r="A36" s="9">
        <v>32</v>
      </c>
      <c r="B36" s="73" t="s">
        <v>470</v>
      </c>
      <c r="C36" s="7" t="s">
        <v>19</v>
      </c>
      <c r="D36" s="43">
        <f t="shared" si="0"/>
        <v>85585.585585585577</v>
      </c>
      <c r="E36" s="43">
        <f t="shared" si="1"/>
        <v>0</v>
      </c>
      <c r="F36" s="56">
        <v>95000</v>
      </c>
      <c r="G36" s="56"/>
    </row>
    <row r="37" spans="1:7">
      <c r="A37" s="9">
        <v>33</v>
      </c>
      <c r="B37" s="73" t="s">
        <v>456</v>
      </c>
      <c r="C37" s="2" t="s">
        <v>277</v>
      </c>
      <c r="D37" s="43">
        <f t="shared" si="0"/>
        <v>198198.19819819817</v>
      </c>
      <c r="E37" s="43">
        <f t="shared" si="1"/>
        <v>198198.19819819817</v>
      </c>
      <c r="F37" s="87">
        <v>220000</v>
      </c>
      <c r="G37" s="87">
        <v>220000</v>
      </c>
    </row>
    <row r="38" spans="1:7">
      <c r="A38" s="9">
        <v>34</v>
      </c>
      <c r="B38" s="73" t="s">
        <v>461</v>
      </c>
      <c r="C38" s="2" t="s">
        <v>81</v>
      </c>
      <c r="D38" s="43">
        <f t="shared" si="0"/>
        <v>315315.31531531527</v>
      </c>
      <c r="E38" s="43">
        <f t="shared" si="1"/>
        <v>315315.31531531527</v>
      </c>
      <c r="F38" s="87">
        <v>350000</v>
      </c>
      <c r="G38" s="56">
        <v>350000</v>
      </c>
    </row>
    <row r="39" spans="1:7">
      <c r="A39" s="9">
        <v>35</v>
      </c>
      <c r="B39" s="73" t="s">
        <v>435</v>
      </c>
      <c r="C39" s="2" t="s">
        <v>91</v>
      </c>
      <c r="D39" s="43">
        <f t="shared" si="0"/>
        <v>83333.333333333328</v>
      </c>
      <c r="E39" s="43">
        <f t="shared" si="1"/>
        <v>83333.333333333328</v>
      </c>
      <c r="F39" s="87">
        <v>92500</v>
      </c>
      <c r="G39" s="87">
        <v>92500</v>
      </c>
    </row>
    <row r="40" spans="1:7">
      <c r="A40" s="9">
        <v>36</v>
      </c>
      <c r="B40" s="73" t="e">
        <v>#N/A</v>
      </c>
      <c r="C40" s="2" t="s">
        <v>102</v>
      </c>
      <c r="D40" s="43">
        <f t="shared" si="0"/>
        <v>83333.333333333328</v>
      </c>
      <c r="E40" s="43">
        <f t="shared" si="1"/>
        <v>83333.333333333328</v>
      </c>
      <c r="F40" s="87">
        <v>92500</v>
      </c>
      <c r="G40" s="87">
        <v>92500</v>
      </c>
    </row>
    <row r="41" spans="1:7">
      <c r="A41" s="9">
        <v>37</v>
      </c>
      <c r="B41" s="73" t="s">
        <v>439</v>
      </c>
      <c r="C41" s="2" t="s">
        <v>93</v>
      </c>
      <c r="D41" s="43">
        <f t="shared" si="0"/>
        <v>78828.828828828817</v>
      </c>
      <c r="E41" s="43">
        <f t="shared" si="1"/>
        <v>78828.828828828817</v>
      </c>
      <c r="F41" s="87">
        <v>87500</v>
      </c>
      <c r="G41" s="87">
        <v>87500</v>
      </c>
    </row>
    <row r="42" spans="1:7" ht="18" customHeight="1">
      <c r="A42" s="9">
        <v>38</v>
      </c>
      <c r="B42" s="73" t="s">
        <v>452</v>
      </c>
      <c r="C42" s="2" t="s">
        <v>92</v>
      </c>
      <c r="D42" s="43">
        <f t="shared" si="0"/>
        <v>83333.333333333328</v>
      </c>
      <c r="E42" s="43">
        <f t="shared" si="1"/>
        <v>83333.333333333328</v>
      </c>
      <c r="F42" s="87">
        <v>92500</v>
      </c>
      <c r="G42" s="87">
        <v>92500</v>
      </c>
    </row>
    <row r="43" spans="1:7" ht="18" customHeight="1">
      <c r="A43" s="9">
        <v>39</v>
      </c>
      <c r="B43" s="73" t="s">
        <v>441</v>
      </c>
      <c r="C43" s="2" t="s">
        <v>94</v>
      </c>
      <c r="D43" s="43">
        <f t="shared" si="0"/>
        <v>78828.828828828817</v>
      </c>
      <c r="E43" s="43">
        <f t="shared" si="1"/>
        <v>78828.828828828817</v>
      </c>
      <c r="F43" s="87">
        <v>87500</v>
      </c>
      <c r="G43" s="87">
        <v>87500</v>
      </c>
    </row>
    <row r="44" spans="1:7" ht="18" customHeight="1">
      <c r="A44" s="9">
        <v>40</v>
      </c>
      <c r="B44" s="73" t="s">
        <v>445</v>
      </c>
      <c r="C44" s="2" t="s">
        <v>95</v>
      </c>
      <c r="D44" s="43">
        <f t="shared" si="0"/>
        <v>121621.62162162161</v>
      </c>
      <c r="E44" s="43">
        <f t="shared" si="1"/>
        <v>121621.62162162161</v>
      </c>
      <c r="F44" s="87">
        <v>135000</v>
      </c>
      <c r="G44" s="87">
        <v>135000</v>
      </c>
    </row>
    <row r="45" spans="1:7" ht="18" customHeight="1">
      <c r="A45" s="9">
        <v>41</v>
      </c>
      <c r="B45" s="73" t="s">
        <v>448</v>
      </c>
      <c r="C45" s="7" t="s">
        <v>20</v>
      </c>
      <c r="D45" s="43">
        <f t="shared" si="0"/>
        <v>878378.37837837834</v>
      </c>
      <c r="E45" s="43">
        <f t="shared" si="1"/>
        <v>94594.594594594586</v>
      </c>
      <c r="F45" s="87">
        <v>975000</v>
      </c>
      <c r="G45" s="56">
        <v>105000</v>
      </c>
    </row>
    <row r="46" spans="1:7" ht="18" customHeight="1">
      <c r="A46" s="9">
        <v>42</v>
      </c>
      <c r="B46" s="73" t="s">
        <v>437</v>
      </c>
      <c r="C46" s="7" t="s">
        <v>21</v>
      </c>
      <c r="D46" s="43">
        <f t="shared" si="0"/>
        <v>878378.37837837834</v>
      </c>
      <c r="E46" s="43">
        <f t="shared" si="1"/>
        <v>103603.60360360359</v>
      </c>
      <c r="F46" s="87">
        <v>975000</v>
      </c>
      <c r="G46" s="56">
        <v>115000</v>
      </c>
    </row>
    <row r="47" spans="1:7" ht="18" customHeight="1">
      <c r="A47" s="9">
        <v>43</v>
      </c>
      <c r="B47" s="73" t="e">
        <v>#N/A</v>
      </c>
      <c r="C47" s="7" t="s">
        <v>271</v>
      </c>
      <c r="D47" s="43">
        <f t="shared" si="0"/>
        <v>94594.594594594586</v>
      </c>
      <c r="E47" s="43">
        <f t="shared" si="1"/>
        <v>94594.594594594586</v>
      </c>
      <c r="F47" s="87">
        <v>105000</v>
      </c>
      <c r="G47" s="87">
        <v>105000</v>
      </c>
    </row>
    <row r="48" spans="1:7" ht="18" customHeight="1">
      <c r="A48" s="9">
        <v>44</v>
      </c>
      <c r="B48" s="73" t="s">
        <v>454</v>
      </c>
      <c r="C48" s="2" t="s">
        <v>101</v>
      </c>
      <c r="D48" s="43">
        <f t="shared" si="0"/>
        <v>198198.19819819817</v>
      </c>
      <c r="E48" s="43">
        <f t="shared" si="1"/>
        <v>198198.19819819817</v>
      </c>
      <c r="F48" s="87">
        <v>220000</v>
      </c>
      <c r="G48" s="56">
        <v>220000</v>
      </c>
    </row>
    <row r="49" spans="1:7" ht="18" customHeight="1">
      <c r="A49" s="9">
        <v>45</v>
      </c>
      <c r="B49" s="73" t="e">
        <v>#N/A</v>
      </c>
      <c r="C49" s="2" t="s">
        <v>2586</v>
      </c>
      <c r="D49" s="43">
        <f t="shared" ref="D49" si="4">F49/1.11</f>
        <v>58558.55855855855</v>
      </c>
      <c r="E49" s="43">
        <f t="shared" ref="E49" si="5">G49/1.11</f>
        <v>58558.55855855855</v>
      </c>
      <c r="F49" s="87">
        <v>65000</v>
      </c>
      <c r="G49" s="96">
        <v>65000</v>
      </c>
    </row>
    <row r="50" spans="1:7" ht="18" customHeight="1">
      <c r="A50" s="9">
        <v>46</v>
      </c>
      <c r="B50" s="73" t="e">
        <v>#N/A</v>
      </c>
      <c r="C50" s="2" t="s">
        <v>86</v>
      </c>
      <c r="D50" s="43">
        <f t="shared" si="0"/>
        <v>644144.14414414414</v>
      </c>
      <c r="E50" s="43">
        <f t="shared" si="1"/>
        <v>644144.14414414414</v>
      </c>
      <c r="F50" s="87">
        <v>715000</v>
      </c>
      <c r="G50" s="96">
        <v>715000</v>
      </c>
    </row>
    <row r="51" spans="1:7" ht="18" customHeight="1">
      <c r="A51" s="9">
        <v>47</v>
      </c>
      <c r="B51" s="73" t="s">
        <v>482</v>
      </c>
      <c r="C51" s="2" t="s">
        <v>109</v>
      </c>
      <c r="D51" s="43">
        <f t="shared" si="0"/>
        <v>10810810.81081081</v>
      </c>
      <c r="E51" s="43">
        <f t="shared" si="1"/>
        <v>11261261.26126126</v>
      </c>
      <c r="F51" s="87">
        <v>12000000</v>
      </c>
      <c r="G51" s="56">
        <v>12500000</v>
      </c>
    </row>
    <row r="52" spans="1:7" ht="18" customHeight="1">
      <c r="A52" s="9">
        <v>48</v>
      </c>
      <c r="B52" s="73" t="s">
        <v>484</v>
      </c>
      <c r="C52" s="2" t="s">
        <v>107</v>
      </c>
      <c r="D52" s="43">
        <f t="shared" si="0"/>
        <v>5405405.405405405</v>
      </c>
      <c r="E52" s="43">
        <f t="shared" si="1"/>
        <v>5630630.6306306301</v>
      </c>
      <c r="F52" s="87">
        <v>6000000</v>
      </c>
      <c r="G52" s="56">
        <v>6250000</v>
      </c>
    </row>
    <row r="53" spans="1:7">
      <c r="A53" s="9">
        <v>49</v>
      </c>
      <c r="B53" s="73" t="s">
        <v>486</v>
      </c>
      <c r="C53" s="2" t="s">
        <v>108</v>
      </c>
      <c r="D53" s="43">
        <f t="shared" si="0"/>
        <v>6486486.4864864862</v>
      </c>
      <c r="E53" s="43">
        <f t="shared" si="1"/>
        <v>6756756.7567567565</v>
      </c>
      <c r="F53" s="87">
        <v>7200000</v>
      </c>
      <c r="G53" s="56">
        <v>7500000</v>
      </c>
    </row>
    <row r="54" spans="1:7">
      <c r="A54" s="9">
        <v>50</v>
      </c>
      <c r="B54" s="73" t="s">
        <v>488</v>
      </c>
      <c r="C54" s="2" t="s">
        <v>103</v>
      </c>
      <c r="D54" s="43">
        <f t="shared" si="0"/>
        <v>-45045.045045045044</v>
      </c>
      <c r="E54" s="43">
        <f t="shared" si="1"/>
        <v>-45045.045045045044</v>
      </c>
      <c r="F54" s="87">
        <v>-50000</v>
      </c>
      <c r="G54" s="87">
        <v>-50000</v>
      </c>
    </row>
    <row r="55" spans="1:7" ht="30">
      <c r="A55" s="9">
        <v>51</v>
      </c>
      <c r="B55" s="73" t="s">
        <v>490</v>
      </c>
      <c r="C55" s="2" t="s">
        <v>2461</v>
      </c>
      <c r="D55" s="43">
        <f t="shared" si="0"/>
        <v>31531.531531531527</v>
      </c>
      <c r="E55" s="43">
        <f t="shared" si="1"/>
        <v>31531.531531531527</v>
      </c>
      <c r="F55" s="87">
        <v>35000</v>
      </c>
      <c r="G55" s="56">
        <v>35000</v>
      </c>
    </row>
    <row r="56" spans="1:7" ht="30">
      <c r="A56" s="9">
        <v>52</v>
      </c>
      <c r="B56" s="73" t="s">
        <v>492</v>
      </c>
      <c r="C56" s="2" t="s">
        <v>2462</v>
      </c>
      <c r="D56" s="43">
        <f t="shared" si="0"/>
        <v>31531.531531531527</v>
      </c>
      <c r="E56" s="43">
        <f t="shared" si="1"/>
        <v>31531.531531531527</v>
      </c>
      <c r="F56" s="87">
        <v>35000</v>
      </c>
      <c r="G56" s="56">
        <v>35000</v>
      </c>
    </row>
    <row r="57" spans="1:7" ht="30">
      <c r="A57" s="9">
        <v>53</v>
      </c>
      <c r="B57" s="73" t="s">
        <v>494</v>
      </c>
      <c r="C57" s="2" t="s">
        <v>2463</v>
      </c>
      <c r="D57" s="43">
        <f t="shared" si="0"/>
        <v>58558.55855855855</v>
      </c>
      <c r="E57" s="43">
        <f t="shared" si="1"/>
        <v>58558.55855855855</v>
      </c>
      <c r="F57" s="87">
        <v>65000</v>
      </c>
      <c r="G57" s="87">
        <v>65000</v>
      </c>
    </row>
    <row r="58" spans="1:7" ht="30">
      <c r="A58" s="9">
        <v>54</v>
      </c>
      <c r="B58" s="73" t="s">
        <v>406</v>
      </c>
      <c r="C58" s="2" t="s">
        <v>2464</v>
      </c>
      <c r="D58" s="43">
        <f t="shared" si="0"/>
        <v>126126.12612612611</v>
      </c>
      <c r="E58" s="43">
        <f t="shared" si="1"/>
        <v>126126.12612612611</v>
      </c>
      <c r="F58" s="87">
        <v>140000</v>
      </c>
      <c r="G58" s="87">
        <v>140000</v>
      </c>
    </row>
    <row r="59" spans="1:7" ht="30">
      <c r="A59" s="9">
        <v>55</v>
      </c>
      <c r="B59" s="73" t="s">
        <v>402</v>
      </c>
      <c r="C59" s="2" t="s">
        <v>2588</v>
      </c>
      <c r="D59" s="43">
        <f t="shared" ref="D59" si="6">F59/1.11</f>
        <v>126126.12612612611</v>
      </c>
      <c r="E59" s="43">
        <f t="shared" ref="E59" si="7">G59/1.11</f>
        <v>126126.12612612611</v>
      </c>
      <c r="F59" s="87">
        <v>140000</v>
      </c>
      <c r="G59" s="87">
        <v>140000</v>
      </c>
    </row>
    <row r="60" spans="1:7" ht="30">
      <c r="A60" s="9">
        <v>56</v>
      </c>
      <c r="B60" s="73" t="s">
        <v>402</v>
      </c>
      <c r="C60" s="2" t="s">
        <v>2465</v>
      </c>
      <c r="D60" s="43">
        <f t="shared" si="0"/>
        <v>141891.89189189189</v>
      </c>
      <c r="E60" s="43">
        <f t="shared" si="1"/>
        <v>141891.89189189189</v>
      </c>
      <c r="F60" s="87">
        <v>157500</v>
      </c>
      <c r="G60" s="87">
        <v>157500</v>
      </c>
    </row>
    <row r="61" spans="1:7" ht="18" customHeight="1">
      <c r="A61" s="9">
        <v>57</v>
      </c>
      <c r="B61" s="73" t="s">
        <v>404</v>
      </c>
      <c r="C61" s="2" t="s">
        <v>2466</v>
      </c>
      <c r="D61" s="43">
        <f t="shared" si="0"/>
        <v>261261.26126126124</v>
      </c>
      <c r="E61" s="43">
        <f t="shared" si="1"/>
        <v>261261.26126126124</v>
      </c>
      <c r="F61" s="56">
        <v>290000</v>
      </c>
      <c r="G61" s="56">
        <v>290000</v>
      </c>
    </row>
    <row r="62" spans="1:7" ht="18" customHeight="1">
      <c r="A62" s="9">
        <v>58</v>
      </c>
      <c r="B62" s="73" t="e">
        <v>#N/A</v>
      </c>
      <c r="C62" s="2" t="s">
        <v>2467</v>
      </c>
      <c r="D62" s="43">
        <f t="shared" si="0"/>
        <v>18018.018018018018</v>
      </c>
      <c r="E62" s="43">
        <f t="shared" si="1"/>
        <v>18018.018018018018</v>
      </c>
      <c r="F62" s="87">
        <v>20000</v>
      </c>
      <c r="G62" s="87">
        <v>20000</v>
      </c>
    </row>
    <row r="63" spans="1:7" ht="18" customHeight="1">
      <c r="A63" s="9">
        <v>59</v>
      </c>
      <c r="B63" s="73" t="e">
        <v>#N/A</v>
      </c>
      <c r="C63" s="2" t="s">
        <v>87</v>
      </c>
      <c r="D63" s="43">
        <f t="shared" si="0"/>
        <v>202702.70270270269</v>
      </c>
      <c r="E63" s="43">
        <f t="shared" si="1"/>
        <v>202702.70270270269</v>
      </c>
      <c r="F63" s="87">
        <v>225000</v>
      </c>
      <c r="G63" s="96">
        <v>225000</v>
      </c>
    </row>
    <row r="64" spans="1:7" ht="18" customHeight="1">
      <c r="A64" s="9">
        <v>60</v>
      </c>
      <c r="B64" s="73" t="e">
        <v>#N/A</v>
      </c>
      <c r="C64" s="2" t="s">
        <v>41</v>
      </c>
      <c r="D64" s="43">
        <f t="shared" si="0"/>
        <v>112612.6126126126</v>
      </c>
      <c r="E64" s="43">
        <f t="shared" si="1"/>
        <v>112612.6126126126</v>
      </c>
      <c r="F64" s="87">
        <v>125000</v>
      </c>
      <c r="G64" s="87">
        <v>125000</v>
      </c>
    </row>
    <row r="65" spans="1:7" ht="18" customHeight="1">
      <c r="A65" s="9">
        <v>61</v>
      </c>
      <c r="B65" s="73" t="e">
        <v>#N/A</v>
      </c>
      <c r="C65" s="2" t="s">
        <v>42</v>
      </c>
      <c r="D65" s="43">
        <f t="shared" si="0"/>
        <v>495495.49549549544</v>
      </c>
      <c r="E65" s="43">
        <f t="shared" si="1"/>
        <v>495495.49549549544</v>
      </c>
      <c r="F65" s="87">
        <v>550000</v>
      </c>
      <c r="G65" s="87">
        <v>550000</v>
      </c>
    </row>
    <row r="66" spans="1:7" ht="18" customHeight="1">
      <c r="A66" s="9">
        <v>62</v>
      </c>
      <c r="B66" s="73" t="e">
        <v>#N/A</v>
      </c>
      <c r="C66" s="2" t="s">
        <v>269</v>
      </c>
      <c r="D66" s="43">
        <f t="shared" si="0"/>
        <v>148648.64864864864</v>
      </c>
      <c r="E66" s="43">
        <f t="shared" si="1"/>
        <v>148648.64864864864</v>
      </c>
      <c r="F66" s="58">
        <v>165000</v>
      </c>
      <c r="G66" s="58">
        <v>165000</v>
      </c>
    </row>
    <row r="67" spans="1:7" ht="18" customHeight="1">
      <c r="A67" s="9">
        <v>63</v>
      </c>
      <c r="B67" s="73" t="e">
        <v>#N/A</v>
      </c>
      <c r="C67" s="2" t="s">
        <v>270</v>
      </c>
      <c r="D67" s="43">
        <f t="shared" ref="D67" si="8">F67/1.11</f>
        <v>126126.12612612611</v>
      </c>
      <c r="E67" s="43">
        <f t="shared" ref="E67" si="9">G67/1.11</f>
        <v>126126.12612612611</v>
      </c>
      <c r="F67" s="58">
        <v>140000</v>
      </c>
      <c r="G67" s="58">
        <v>140000</v>
      </c>
    </row>
    <row r="68" spans="1:7" ht="18" customHeight="1">
      <c r="A68" s="9">
        <v>64</v>
      </c>
      <c r="B68" s="73" t="e">
        <v>#N/A</v>
      </c>
      <c r="C68" s="2" t="s">
        <v>2585</v>
      </c>
      <c r="D68" s="43">
        <f t="shared" si="0"/>
        <v>126126.12612612611</v>
      </c>
      <c r="E68" s="43">
        <f t="shared" si="1"/>
        <v>126126.12612612611</v>
      </c>
      <c r="F68" s="58">
        <v>140000</v>
      </c>
      <c r="G68" s="58">
        <v>140000</v>
      </c>
    </row>
    <row r="69" spans="1:7" ht="18" customHeight="1">
      <c r="A69" s="9">
        <v>65</v>
      </c>
      <c r="B69" s="73" t="s">
        <v>510</v>
      </c>
      <c r="C69" s="2" t="s">
        <v>43</v>
      </c>
      <c r="D69" s="43">
        <f t="shared" si="0"/>
        <v>126126.12612612611</v>
      </c>
      <c r="E69" s="43">
        <f t="shared" si="1"/>
        <v>126126.12612612611</v>
      </c>
      <c r="F69" s="58">
        <v>140000</v>
      </c>
      <c r="G69" s="58">
        <v>140000</v>
      </c>
    </row>
    <row r="70" spans="1:7" ht="18" customHeight="1">
      <c r="A70" s="9">
        <v>66</v>
      </c>
      <c r="B70" s="73" t="s">
        <v>512</v>
      </c>
      <c r="C70" s="2" t="s">
        <v>44</v>
      </c>
      <c r="D70" s="43">
        <f t="shared" si="0"/>
        <v>252252.25225225222</v>
      </c>
      <c r="E70" s="43">
        <f t="shared" si="1"/>
        <v>252252.25225225222</v>
      </c>
      <c r="F70" s="87">
        <v>280000</v>
      </c>
      <c r="G70" s="87">
        <v>280000</v>
      </c>
    </row>
    <row r="71" spans="1:7" ht="18" customHeight="1">
      <c r="A71" s="9">
        <v>67</v>
      </c>
      <c r="B71" s="73" t="s">
        <v>516</v>
      </c>
      <c r="C71" s="2" t="s">
        <v>45</v>
      </c>
      <c r="D71" s="43">
        <f t="shared" si="0"/>
        <v>495495.49549549544</v>
      </c>
      <c r="E71" s="43">
        <f t="shared" si="1"/>
        <v>495495.49549549544</v>
      </c>
      <c r="F71" s="87">
        <v>550000</v>
      </c>
      <c r="G71" s="87">
        <v>550000</v>
      </c>
    </row>
    <row r="72" spans="1:7" ht="18" customHeight="1">
      <c r="A72" s="9">
        <v>68</v>
      </c>
      <c r="B72" s="73" t="s">
        <v>506</v>
      </c>
      <c r="C72" s="2" t="s">
        <v>104</v>
      </c>
      <c r="D72" s="43">
        <f t="shared" si="0"/>
        <v>157657.65765765763</v>
      </c>
      <c r="E72" s="43">
        <f t="shared" si="1"/>
        <v>157657.65765765763</v>
      </c>
      <c r="F72" s="58">
        <v>175000</v>
      </c>
      <c r="G72" s="58">
        <v>175000</v>
      </c>
    </row>
    <row r="73" spans="1:7">
      <c r="A73" s="9">
        <v>69</v>
      </c>
      <c r="B73" s="73" t="s">
        <v>498</v>
      </c>
      <c r="C73" s="2" t="s">
        <v>84</v>
      </c>
      <c r="D73" s="43">
        <f t="shared" si="0"/>
        <v>270270.27027027024</v>
      </c>
      <c r="E73" s="43">
        <f t="shared" si="1"/>
        <v>270270.27027027024</v>
      </c>
      <c r="F73" s="87">
        <v>300000</v>
      </c>
      <c r="G73" s="96">
        <v>300000</v>
      </c>
    </row>
    <row r="74" spans="1:7">
      <c r="A74" s="9">
        <v>70</v>
      </c>
      <c r="B74" s="73" t="s">
        <v>500</v>
      </c>
      <c r="C74" s="2" t="s">
        <v>85</v>
      </c>
      <c r="D74" s="43">
        <f t="shared" si="0"/>
        <v>810810.81081081077</v>
      </c>
      <c r="E74" s="43">
        <f t="shared" si="1"/>
        <v>810810.81081081077</v>
      </c>
      <c r="F74" s="87">
        <v>900000</v>
      </c>
      <c r="G74" s="96">
        <v>900000</v>
      </c>
    </row>
    <row r="75" spans="1:7">
      <c r="A75" s="9">
        <v>71</v>
      </c>
      <c r="B75" s="73" t="s">
        <v>501</v>
      </c>
      <c r="C75" s="2" t="s">
        <v>105</v>
      </c>
      <c r="D75" s="43">
        <f t="shared" si="0"/>
        <v>315315.31531531527</v>
      </c>
      <c r="E75" s="43">
        <f t="shared" si="1"/>
        <v>315315.31531531527</v>
      </c>
      <c r="F75" s="87">
        <v>350000</v>
      </c>
      <c r="G75" s="96">
        <v>350000</v>
      </c>
    </row>
    <row r="76" spans="1:7">
      <c r="A76" s="9">
        <v>72</v>
      </c>
      <c r="B76" s="73" t="s">
        <v>502</v>
      </c>
      <c r="C76" s="2" t="s">
        <v>106</v>
      </c>
      <c r="D76" s="43">
        <f t="shared" si="0"/>
        <v>472972.97297297296</v>
      </c>
      <c r="E76" s="43">
        <f t="shared" si="1"/>
        <v>472972.97297297296</v>
      </c>
      <c r="F76" s="87">
        <v>525000</v>
      </c>
      <c r="G76" s="96">
        <v>525000</v>
      </c>
    </row>
    <row r="77" spans="1:7">
      <c r="A77" s="9">
        <v>73</v>
      </c>
      <c r="B77" s="73" t="s">
        <v>496</v>
      </c>
      <c r="C77" s="5" t="s">
        <v>258</v>
      </c>
      <c r="D77" s="43">
        <f t="shared" si="0"/>
        <v>2252252.2522522518</v>
      </c>
      <c r="E77" s="43">
        <f t="shared" si="1"/>
        <v>2252252.2522522518</v>
      </c>
      <c r="F77" s="87">
        <v>2500000</v>
      </c>
      <c r="G77" s="87">
        <v>2500000</v>
      </c>
    </row>
    <row r="78" spans="1:7" ht="18" customHeight="1">
      <c r="A78" s="9">
        <v>74</v>
      </c>
      <c r="B78" s="73" t="s">
        <v>418</v>
      </c>
      <c r="C78" s="5" t="s">
        <v>110</v>
      </c>
      <c r="D78" s="43">
        <f t="shared" si="0"/>
        <v>49549.549549549542</v>
      </c>
      <c r="E78" s="43">
        <f t="shared" si="1"/>
        <v>58558.55855855855</v>
      </c>
      <c r="F78" s="87">
        <v>55000</v>
      </c>
      <c r="G78" s="96">
        <v>65000</v>
      </c>
    </row>
    <row r="79" spans="1:7" ht="18" customHeight="1">
      <c r="A79" s="9">
        <v>75</v>
      </c>
      <c r="B79" s="73" t="s">
        <v>420</v>
      </c>
      <c r="C79" s="2" t="s">
        <v>111</v>
      </c>
      <c r="D79" s="43">
        <f t="shared" si="0"/>
        <v>49549.549549549542</v>
      </c>
      <c r="E79" s="43">
        <f t="shared" si="1"/>
        <v>58558.55855855855</v>
      </c>
      <c r="F79" s="87">
        <v>55000</v>
      </c>
      <c r="G79" s="96">
        <v>65000</v>
      </c>
    </row>
    <row r="80" spans="1:7">
      <c r="A80" s="9">
        <v>76</v>
      </c>
      <c r="B80" s="73" t="e">
        <v>#N/A</v>
      </c>
      <c r="C80" s="2" t="s">
        <v>112</v>
      </c>
      <c r="D80" s="43">
        <f t="shared" ref="D80:D95" si="10">F80/1.11</f>
        <v>58558.55855855855</v>
      </c>
      <c r="E80" s="43">
        <f t="shared" ref="E80:E95" si="11">G80/1.11</f>
        <v>67567.567567567559</v>
      </c>
      <c r="F80" s="87">
        <v>65000</v>
      </c>
      <c r="G80" s="96">
        <v>75000</v>
      </c>
    </row>
    <row r="81" spans="1:7">
      <c r="A81" s="9">
        <v>77</v>
      </c>
      <c r="B81" s="73" t="e">
        <v>#N/A</v>
      </c>
      <c r="C81" s="2" t="s">
        <v>113</v>
      </c>
      <c r="D81" s="43">
        <f t="shared" si="10"/>
        <v>337837.83783783781</v>
      </c>
      <c r="E81" s="43">
        <f t="shared" si="11"/>
        <v>360360.36036036036</v>
      </c>
      <c r="F81" s="87">
        <v>375000</v>
      </c>
      <c r="G81" s="96">
        <v>400000</v>
      </c>
    </row>
    <row r="82" spans="1:7">
      <c r="A82" s="9">
        <v>78</v>
      </c>
      <c r="B82" s="73" t="s">
        <v>410</v>
      </c>
      <c r="C82" s="7" t="s">
        <v>47</v>
      </c>
      <c r="D82" s="43">
        <f t="shared" si="10"/>
        <v>90090.090090090089</v>
      </c>
      <c r="E82" s="43">
        <f t="shared" si="11"/>
        <v>90090.090090090089</v>
      </c>
      <c r="F82" s="56">
        <v>100000</v>
      </c>
      <c r="G82" s="56">
        <v>100000</v>
      </c>
    </row>
    <row r="83" spans="1:7">
      <c r="A83" s="9">
        <v>79</v>
      </c>
      <c r="B83" s="73" t="s">
        <v>412</v>
      </c>
      <c r="C83" s="7" t="s">
        <v>48</v>
      </c>
      <c r="D83" s="43">
        <f t="shared" si="10"/>
        <v>112612.6126126126</v>
      </c>
      <c r="E83" s="43">
        <f t="shared" si="11"/>
        <v>112612.6126126126</v>
      </c>
      <c r="F83" s="56">
        <v>125000</v>
      </c>
      <c r="G83" s="56">
        <v>125000</v>
      </c>
    </row>
    <row r="84" spans="1:7">
      <c r="A84" s="9">
        <v>80</v>
      </c>
      <c r="B84" s="73" t="s">
        <v>414</v>
      </c>
      <c r="C84" s="7" t="s">
        <v>49</v>
      </c>
      <c r="D84" s="43">
        <f t="shared" si="10"/>
        <v>112612.6126126126</v>
      </c>
      <c r="E84" s="43">
        <f t="shared" si="11"/>
        <v>112612.6126126126</v>
      </c>
      <c r="F84" s="56">
        <v>125000</v>
      </c>
      <c r="G84" s="56">
        <v>125000</v>
      </c>
    </row>
    <row r="85" spans="1:7">
      <c r="A85" s="9">
        <v>81</v>
      </c>
      <c r="B85" s="73" t="s">
        <v>416</v>
      </c>
      <c r="C85" s="7" t="s">
        <v>50</v>
      </c>
      <c r="D85" s="43">
        <f t="shared" si="10"/>
        <v>675675.67567567562</v>
      </c>
      <c r="E85" s="43">
        <f t="shared" si="11"/>
        <v>675675.67567567562</v>
      </c>
      <c r="F85" s="56">
        <v>750000</v>
      </c>
      <c r="G85" s="56">
        <v>750000</v>
      </c>
    </row>
    <row r="86" spans="1:7">
      <c r="A86" s="9">
        <v>82</v>
      </c>
      <c r="B86" s="73" t="s">
        <v>430</v>
      </c>
      <c r="C86" s="5" t="s">
        <v>51</v>
      </c>
      <c r="D86" s="43">
        <f t="shared" si="10"/>
        <v>45045.045045045044</v>
      </c>
      <c r="E86" s="43">
        <f t="shared" si="11"/>
        <v>45045.045045045044</v>
      </c>
      <c r="F86" s="56">
        <v>50000</v>
      </c>
      <c r="G86" s="56">
        <v>50000</v>
      </c>
    </row>
    <row r="87" spans="1:7">
      <c r="A87" s="9">
        <v>83</v>
      </c>
      <c r="B87" s="73" t="s">
        <v>429</v>
      </c>
      <c r="C87" s="2" t="s">
        <v>52</v>
      </c>
      <c r="D87" s="43">
        <f t="shared" si="10"/>
        <v>31531.531531531527</v>
      </c>
      <c r="E87" s="43">
        <f t="shared" si="11"/>
        <v>31531.531531531527</v>
      </c>
      <c r="F87" s="87">
        <v>35000</v>
      </c>
      <c r="G87" s="87">
        <v>35000</v>
      </c>
    </row>
    <row r="88" spans="1:7">
      <c r="A88" s="9">
        <v>84</v>
      </c>
      <c r="B88" s="73" t="s">
        <v>426</v>
      </c>
      <c r="C88" s="2" t="s">
        <v>114</v>
      </c>
      <c r="D88" s="43">
        <f t="shared" si="10"/>
        <v>45045.045045045044</v>
      </c>
      <c r="E88" s="43">
        <f t="shared" si="11"/>
        <v>45045.045045045044</v>
      </c>
      <c r="F88" s="87">
        <v>50000</v>
      </c>
      <c r="G88" s="56">
        <v>50000</v>
      </c>
    </row>
    <row r="89" spans="1:7">
      <c r="A89" s="9">
        <v>85</v>
      </c>
      <c r="B89" s="73" t="s">
        <v>427</v>
      </c>
      <c r="C89" s="24" t="s">
        <v>53</v>
      </c>
      <c r="D89" s="43">
        <f t="shared" si="10"/>
        <v>45045.045045045044</v>
      </c>
      <c r="E89" s="43">
        <f t="shared" si="11"/>
        <v>45045.045045045044</v>
      </c>
      <c r="F89" s="89">
        <v>50000</v>
      </c>
      <c r="G89" s="89">
        <v>50000</v>
      </c>
    </row>
    <row r="90" spans="1:7">
      <c r="A90" s="9">
        <v>86</v>
      </c>
      <c r="B90" s="73" t="s">
        <v>2122</v>
      </c>
      <c r="C90" s="12" t="s">
        <v>241</v>
      </c>
      <c r="D90" s="43">
        <f t="shared" si="10"/>
        <v>1981981.9819819818</v>
      </c>
      <c r="E90" s="43">
        <f t="shared" si="11"/>
        <v>1981981.9819819818</v>
      </c>
      <c r="F90" s="96">
        <v>2200000</v>
      </c>
      <c r="G90" s="96">
        <v>2200000</v>
      </c>
    </row>
    <row r="91" spans="1:7">
      <c r="A91" s="9">
        <v>87</v>
      </c>
      <c r="B91" s="73" t="s">
        <v>504</v>
      </c>
      <c r="C91" s="5" t="s">
        <v>2581</v>
      </c>
      <c r="D91" s="43">
        <f t="shared" si="10"/>
        <v>13513.513513513511</v>
      </c>
      <c r="E91" s="43">
        <f t="shared" si="11"/>
        <v>13513.513513513511</v>
      </c>
      <c r="F91" s="56">
        <v>15000</v>
      </c>
      <c r="G91" s="56">
        <v>15000</v>
      </c>
    </row>
    <row r="92" spans="1:7">
      <c r="A92" s="9">
        <v>88</v>
      </c>
      <c r="B92" s="73" t="s">
        <v>427</v>
      </c>
      <c r="C92" s="2" t="s">
        <v>2400</v>
      </c>
      <c r="D92" s="43">
        <f t="shared" si="10"/>
        <v>13513.513513513511</v>
      </c>
      <c r="E92" s="43">
        <f t="shared" si="11"/>
        <v>13513.513513513511</v>
      </c>
      <c r="F92" s="87">
        <v>15000</v>
      </c>
      <c r="G92" s="56">
        <v>15000</v>
      </c>
    </row>
    <row r="93" spans="1:7">
      <c r="A93" s="9">
        <v>89</v>
      </c>
      <c r="B93" s="73">
        <v>100043</v>
      </c>
      <c r="C93" s="2" t="s">
        <v>2477</v>
      </c>
      <c r="D93" s="43">
        <f t="shared" ref="D93" si="12">F93/1.11</f>
        <v>449999.99999999994</v>
      </c>
      <c r="E93" s="43">
        <f t="shared" ref="E93" si="13">G93/1.11</f>
        <v>449999.99999999994</v>
      </c>
      <c r="F93" s="87">
        <v>499500</v>
      </c>
      <c r="G93" s="56">
        <v>499500</v>
      </c>
    </row>
    <row r="94" spans="1:7">
      <c r="A94" s="9">
        <v>90</v>
      </c>
      <c r="B94" s="73">
        <v>100043</v>
      </c>
      <c r="C94" s="2" t="s">
        <v>2545</v>
      </c>
      <c r="D94" s="43">
        <f t="shared" si="10"/>
        <v>13513.513513513511</v>
      </c>
      <c r="E94" s="43">
        <f t="shared" si="11"/>
        <v>13513.513513513511</v>
      </c>
      <c r="F94" s="87">
        <v>15000</v>
      </c>
      <c r="G94" s="56">
        <v>15000</v>
      </c>
    </row>
    <row r="95" spans="1:7">
      <c r="A95" s="9">
        <v>91</v>
      </c>
      <c r="B95" s="73" t="s">
        <v>2541</v>
      </c>
      <c r="C95" s="2" t="s">
        <v>2492</v>
      </c>
      <c r="D95" s="43">
        <f t="shared" si="10"/>
        <v>0</v>
      </c>
      <c r="E95" s="43">
        <f t="shared" si="11"/>
        <v>90090.090090090089</v>
      </c>
      <c r="F95" s="87">
        <v>0</v>
      </c>
      <c r="G95" s="56">
        <v>100000</v>
      </c>
    </row>
    <row r="96" spans="1:7">
      <c r="D96" s="52"/>
      <c r="E96" s="52"/>
      <c r="F96" s="97"/>
      <c r="G96" s="97"/>
    </row>
  </sheetData>
  <sortState xmlns:xlrd2="http://schemas.microsoft.com/office/spreadsheetml/2017/richdata2" ref="C5:G90">
    <sortCondition ref="C5"/>
  </sortState>
  <mergeCells count="6">
    <mergeCell ref="A1:G1"/>
    <mergeCell ref="A2:A3"/>
    <mergeCell ref="C2:C3"/>
    <mergeCell ref="F2:G3"/>
    <mergeCell ref="B2:B3"/>
    <mergeCell ref="D2:E3"/>
  </mergeCells>
  <pageMargins left="0.25" right="0.25" top="0.75" bottom="0.75" header="0.3" footer="0.3"/>
  <pageSetup paperSize="9" scale="80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E8DE4-4173-43F8-AB6D-6989DB2FD79C}">
  <sheetPr>
    <outlinePr summaryBelow="0"/>
  </sheetPr>
  <dimension ref="A1:J977"/>
  <sheetViews>
    <sheetView tabSelected="1" zoomScaleNormal="100" workbookViewId="0">
      <pane ySplit="6" topLeftCell="A544" activePane="bottomLeft" state="frozen"/>
      <selection activeCell="I33" sqref="I33"/>
      <selection pane="bottomLeft" activeCell="H548" sqref="H548"/>
    </sheetView>
  </sheetViews>
  <sheetFormatPr defaultRowHeight="15"/>
  <cols>
    <col min="1" max="1" width="4.7109375" style="25" customWidth="1"/>
    <col min="2" max="2" width="11.7109375" style="25" customWidth="1"/>
    <col min="3" max="3" width="2" style="25" customWidth="1"/>
    <col min="4" max="4" width="23.85546875" style="25" customWidth="1"/>
    <col min="5" max="5" width="4.7109375" style="25" customWidth="1"/>
    <col min="6" max="6" width="61.42578125" style="25" customWidth="1"/>
    <col min="7" max="7" width="12.42578125" style="25" customWidth="1"/>
    <col min="8" max="8" width="15.42578125" style="35" customWidth="1"/>
    <col min="9" max="9" width="13" style="35" customWidth="1"/>
    <col min="10" max="10" width="23.7109375" style="25" customWidth="1"/>
    <col min="11" max="16384" width="9.140625" style="25"/>
  </cols>
  <sheetData>
    <row r="1" spans="1:10" ht="17.100000000000001" customHeight="1">
      <c r="A1" s="26"/>
      <c r="B1" s="41"/>
      <c r="C1" s="41"/>
      <c r="D1" s="153" t="s">
        <v>2166</v>
      </c>
      <c r="E1" s="153"/>
      <c r="F1" s="153"/>
      <c r="G1" s="153"/>
      <c r="H1" s="153"/>
      <c r="I1" s="153"/>
      <c r="J1" s="37"/>
    </row>
    <row r="2" spans="1:10" ht="23.1" customHeight="1">
      <c r="A2" s="26"/>
      <c r="C2" s="40"/>
      <c r="D2" s="151" t="s">
        <v>2165</v>
      </c>
      <c r="E2" s="151"/>
      <c r="F2" s="151"/>
      <c r="G2" s="151"/>
      <c r="H2" s="151"/>
      <c r="I2" s="151"/>
      <c r="J2" s="37"/>
    </row>
    <row r="3" spans="1:10" ht="15.95" customHeight="1">
      <c r="A3" s="26"/>
      <c r="B3" s="39"/>
      <c r="C3" s="39"/>
      <c r="D3" s="152"/>
      <c r="E3" s="152"/>
      <c r="F3" s="152"/>
      <c r="G3" s="152"/>
      <c r="H3" s="152"/>
      <c r="I3" s="152"/>
      <c r="J3" s="37"/>
    </row>
    <row r="4" spans="1:10" ht="12" customHeight="1">
      <c r="A4" s="26"/>
      <c r="B4" s="148" t="s">
        <v>2164</v>
      </c>
      <c r="C4" s="148"/>
      <c r="D4" s="148"/>
      <c r="E4" s="148"/>
      <c r="F4" s="148"/>
      <c r="G4" s="148"/>
      <c r="H4" s="148"/>
      <c r="I4" s="148"/>
      <c r="J4" s="37"/>
    </row>
    <row r="5" spans="1:10" ht="21.75" customHeight="1">
      <c r="A5" s="26"/>
      <c r="B5" s="26"/>
      <c r="C5" s="29"/>
      <c r="D5" s="30" t="s">
        <v>2163</v>
      </c>
      <c r="E5" s="149" t="s">
        <v>280</v>
      </c>
      <c r="F5" s="149"/>
      <c r="G5" s="28" t="s">
        <v>2162</v>
      </c>
      <c r="H5" s="150" t="s">
        <v>2394</v>
      </c>
      <c r="I5" s="150"/>
      <c r="J5" s="37"/>
    </row>
    <row r="6" spans="1:10" ht="14.1" customHeight="1" thickBot="1">
      <c r="A6" s="26"/>
      <c r="B6" s="26"/>
      <c r="D6" s="42" t="s">
        <v>2393</v>
      </c>
      <c r="E6" s="42"/>
      <c r="F6" s="31"/>
      <c r="G6" s="32"/>
      <c r="H6" s="33" t="s">
        <v>2149</v>
      </c>
      <c r="I6" s="33" t="s">
        <v>2150</v>
      </c>
      <c r="J6" s="37"/>
    </row>
    <row r="7" spans="1:10" ht="23.1" customHeight="1" thickTop="1">
      <c r="A7" s="26"/>
      <c r="B7" s="26"/>
      <c r="C7" s="26"/>
      <c r="D7" s="27" t="s">
        <v>393</v>
      </c>
      <c r="E7" s="142" t="s">
        <v>392</v>
      </c>
      <c r="F7" s="142"/>
      <c r="G7" s="27" t="s">
        <v>2151</v>
      </c>
      <c r="H7" s="34">
        <f>Tabung!F59</f>
        <v>6500000</v>
      </c>
      <c r="I7" s="34">
        <f>Tabung!G59</f>
        <v>7000000</v>
      </c>
      <c r="J7" s="37"/>
    </row>
    <row r="8" spans="1:10" ht="23.1" customHeight="1">
      <c r="A8" s="26"/>
      <c r="B8" s="26"/>
      <c r="C8" s="26"/>
      <c r="D8" s="27" t="s">
        <v>395</v>
      </c>
      <c r="E8" s="142" t="s">
        <v>394</v>
      </c>
      <c r="F8" s="142"/>
      <c r="G8" s="27" t="s">
        <v>2151</v>
      </c>
      <c r="H8" s="34">
        <f>Tabung!F60</f>
        <v>9700000</v>
      </c>
      <c r="I8" s="34">
        <f>Tabung!G60</f>
        <v>10200000</v>
      </c>
      <c r="J8" s="37"/>
    </row>
    <row r="9" spans="1:10" ht="23.1" customHeight="1">
      <c r="A9" s="26"/>
      <c r="B9" s="26"/>
      <c r="C9" s="26"/>
      <c r="D9" s="27" t="s">
        <v>397</v>
      </c>
      <c r="E9" s="142" t="s">
        <v>396</v>
      </c>
      <c r="F9" s="142"/>
      <c r="G9" s="27" t="s">
        <v>2151</v>
      </c>
      <c r="H9" s="34">
        <f>Tabung!F57</f>
        <v>17500000</v>
      </c>
      <c r="I9" s="34">
        <f>Tabung!G57</f>
        <v>18250000</v>
      </c>
      <c r="J9" s="37"/>
    </row>
    <row r="10" spans="1:10" ht="23.1" customHeight="1">
      <c r="A10" s="26"/>
      <c r="B10" s="26"/>
      <c r="C10" s="26"/>
      <c r="D10" s="27" t="s">
        <v>404</v>
      </c>
      <c r="E10" s="142" t="s">
        <v>403</v>
      </c>
      <c r="F10" s="142"/>
      <c r="G10" s="27" t="s">
        <v>2151</v>
      </c>
      <c r="H10" s="34">
        <f>Kran!F53</f>
        <v>7200000</v>
      </c>
      <c r="I10" s="34">
        <f>Kran!G53</f>
        <v>7500000</v>
      </c>
      <c r="J10" s="37"/>
    </row>
    <row r="11" spans="1:10" ht="23.1" customHeight="1">
      <c r="A11" s="26"/>
      <c r="B11" s="26"/>
      <c r="C11" s="26"/>
      <c r="D11" s="27" t="s">
        <v>406</v>
      </c>
      <c r="E11" s="142" t="s">
        <v>405</v>
      </c>
      <c r="F11" s="142"/>
      <c r="G11" s="27" t="s">
        <v>2151</v>
      </c>
      <c r="H11" s="34">
        <f>Kran!F51</f>
        <v>12000000</v>
      </c>
      <c r="I11" s="34">
        <f>Kran!G51</f>
        <v>12500000</v>
      </c>
      <c r="J11" s="37"/>
    </row>
    <row r="12" spans="1:10" ht="23.1" customHeight="1">
      <c r="A12" s="26"/>
      <c r="B12" s="26"/>
      <c r="C12" s="26"/>
      <c r="D12" s="27" t="s">
        <v>408</v>
      </c>
      <c r="E12" s="142" t="s">
        <v>407</v>
      </c>
      <c r="F12" s="142"/>
      <c r="G12" s="27" t="s">
        <v>2151</v>
      </c>
      <c r="H12" s="34">
        <f>Kran!F53+(Kran!F54*6)</f>
        <v>6900000</v>
      </c>
      <c r="I12" s="34">
        <f>Kran!G53+(Kran!G54*6)</f>
        <v>7200000</v>
      </c>
      <c r="J12" s="37"/>
    </row>
    <row r="13" spans="1:10" ht="23.1" customHeight="1">
      <c r="A13" s="26"/>
      <c r="B13" s="26"/>
      <c r="C13" s="26"/>
      <c r="D13" s="27" t="s">
        <v>410</v>
      </c>
      <c r="E13" s="142" t="s">
        <v>409</v>
      </c>
      <c r="F13" s="142"/>
      <c r="G13" s="27" t="s">
        <v>2151</v>
      </c>
      <c r="H13" s="34">
        <f>Kran!F82</f>
        <v>100000</v>
      </c>
      <c r="I13" s="34">
        <f>Kran!G82</f>
        <v>100000</v>
      </c>
      <c r="J13" s="37"/>
    </row>
    <row r="14" spans="1:10" ht="23.1" customHeight="1">
      <c r="A14" s="26"/>
      <c r="B14" s="26"/>
      <c r="C14" s="26"/>
      <c r="D14" s="27" t="s">
        <v>412</v>
      </c>
      <c r="E14" s="142" t="s">
        <v>411</v>
      </c>
      <c r="F14" s="142"/>
      <c r="G14" s="27" t="s">
        <v>2151</v>
      </c>
      <c r="H14" s="34">
        <f>Kran!F83</f>
        <v>125000</v>
      </c>
      <c r="I14" s="34">
        <f>Kran!G83</f>
        <v>125000</v>
      </c>
      <c r="J14" s="37"/>
    </row>
    <row r="15" spans="1:10" ht="23.1" customHeight="1">
      <c r="A15" s="26"/>
      <c r="B15" s="26"/>
      <c r="C15" s="26"/>
      <c r="D15" s="27" t="s">
        <v>414</v>
      </c>
      <c r="E15" s="142" t="s">
        <v>413</v>
      </c>
      <c r="F15" s="142"/>
      <c r="G15" s="27" t="s">
        <v>2151</v>
      </c>
      <c r="H15" s="34">
        <f>Kran!F84</f>
        <v>125000</v>
      </c>
      <c r="I15" s="34">
        <f>Kran!G84</f>
        <v>125000</v>
      </c>
      <c r="J15" s="37"/>
    </row>
    <row r="16" spans="1:10" ht="23.1" customHeight="1">
      <c r="A16" s="26"/>
      <c r="B16" s="26"/>
      <c r="C16" s="26"/>
      <c r="D16" s="27" t="s">
        <v>416</v>
      </c>
      <c r="E16" s="142" t="s">
        <v>415</v>
      </c>
      <c r="F16" s="142"/>
      <c r="G16" s="27" t="s">
        <v>2151</v>
      </c>
      <c r="H16" s="34">
        <f>Kran!F85</f>
        <v>750000</v>
      </c>
      <c r="I16" s="34">
        <f>Kran!G85</f>
        <v>750000</v>
      </c>
      <c r="J16" s="37"/>
    </row>
    <row r="17" spans="1:10" ht="23.1" customHeight="1">
      <c r="A17" s="26"/>
      <c r="B17" s="26"/>
      <c r="C17" s="26"/>
      <c r="D17" s="27" t="s">
        <v>418</v>
      </c>
      <c r="E17" s="142" t="s">
        <v>417</v>
      </c>
      <c r="F17" s="142"/>
      <c r="G17" s="27" t="s">
        <v>2151</v>
      </c>
      <c r="H17" s="34">
        <f>Kran!F78</f>
        <v>55000</v>
      </c>
      <c r="I17" s="34">
        <f>Kran!G78</f>
        <v>65000</v>
      </c>
      <c r="J17" s="37"/>
    </row>
    <row r="18" spans="1:10" ht="23.1" customHeight="1">
      <c r="A18" s="26"/>
      <c r="B18" s="26"/>
      <c r="C18" s="26"/>
      <c r="D18" s="27" t="s">
        <v>420</v>
      </c>
      <c r="E18" s="142" t="s">
        <v>419</v>
      </c>
      <c r="F18" s="142"/>
      <c r="G18" s="27" t="s">
        <v>2151</v>
      </c>
      <c r="H18" s="34">
        <f>Kran!F79</f>
        <v>55000</v>
      </c>
      <c r="I18" s="34">
        <f>Kran!G79</f>
        <v>65000</v>
      </c>
      <c r="J18" s="37"/>
    </row>
    <row r="19" spans="1:10" ht="23.1" customHeight="1">
      <c r="A19" s="26"/>
      <c r="B19" s="26"/>
      <c r="C19" s="26"/>
      <c r="D19" s="27" t="s">
        <v>422</v>
      </c>
      <c r="E19" s="142" t="s">
        <v>421</v>
      </c>
      <c r="F19" s="142"/>
      <c r="G19" s="27" t="s">
        <v>2151</v>
      </c>
      <c r="H19" s="34">
        <f>Kran!F80</f>
        <v>65000</v>
      </c>
      <c r="I19" s="34">
        <f>Kran!G80</f>
        <v>75000</v>
      </c>
      <c r="J19" s="37"/>
    </row>
    <row r="20" spans="1:10" ht="23.1" customHeight="1">
      <c r="A20" s="26"/>
      <c r="B20" s="26"/>
      <c r="C20" s="26"/>
      <c r="D20" s="27" t="s">
        <v>424</v>
      </c>
      <c r="E20" s="142" t="s">
        <v>423</v>
      </c>
      <c r="F20" s="142"/>
      <c r="G20" s="27" t="s">
        <v>2151</v>
      </c>
      <c r="H20" s="34">
        <f>Kran!F81</f>
        <v>375000</v>
      </c>
      <c r="I20" s="34">
        <f>Kran!G81</f>
        <v>400000</v>
      </c>
      <c r="J20" s="37"/>
    </row>
    <row r="21" spans="1:10" ht="23.1" customHeight="1">
      <c r="A21" s="26"/>
      <c r="B21" s="26"/>
      <c r="C21" s="26"/>
      <c r="D21" s="27" t="s">
        <v>426</v>
      </c>
      <c r="E21" s="142" t="s">
        <v>425</v>
      </c>
      <c r="F21" s="142"/>
      <c r="G21" s="27" t="s">
        <v>2151</v>
      </c>
      <c r="H21" s="34">
        <f>Kran!F88</f>
        <v>50000</v>
      </c>
      <c r="I21" s="34">
        <f>Kran!G88</f>
        <v>50000</v>
      </c>
      <c r="J21" s="37"/>
    </row>
    <row r="22" spans="1:10" ht="23.1" customHeight="1">
      <c r="A22" s="26"/>
      <c r="B22" s="26"/>
      <c r="C22" s="26"/>
      <c r="D22" s="27" t="s">
        <v>427</v>
      </c>
      <c r="E22" s="142" t="s">
        <v>53</v>
      </c>
      <c r="F22" s="142"/>
      <c r="G22" s="27" t="s">
        <v>2151</v>
      </c>
      <c r="H22" s="34">
        <f>Kran!F89</f>
        <v>50000</v>
      </c>
      <c r="I22" s="34">
        <f>Kran!G89</f>
        <v>50000</v>
      </c>
      <c r="J22" s="37"/>
    </row>
    <row r="23" spans="1:10" ht="23.1" customHeight="1">
      <c r="A23" s="26"/>
      <c r="B23" s="26"/>
      <c r="C23" s="26"/>
      <c r="D23" s="27" t="s">
        <v>429</v>
      </c>
      <c r="E23" s="142" t="s">
        <v>428</v>
      </c>
      <c r="F23" s="142"/>
      <c r="G23" s="27" t="s">
        <v>2151</v>
      </c>
      <c r="H23" s="34">
        <f>Kran!F87</f>
        <v>35000</v>
      </c>
      <c r="I23" s="34">
        <f>Kran!G87</f>
        <v>35000</v>
      </c>
      <c r="J23" s="37"/>
    </row>
    <row r="24" spans="1:10" ht="23.1" customHeight="1">
      <c r="A24" s="26"/>
      <c r="B24" s="26"/>
      <c r="C24" s="26"/>
      <c r="D24" s="27" t="s">
        <v>430</v>
      </c>
      <c r="E24" s="142" t="s">
        <v>51</v>
      </c>
      <c r="F24" s="142"/>
      <c r="G24" s="27" t="s">
        <v>2151</v>
      </c>
      <c r="H24" s="34">
        <f>Kran!F86</f>
        <v>50000</v>
      </c>
      <c r="I24" s="34">
        <f>Kran!G86</f>
        <v>50000</v>
      </c>
      <c r="J24" s="37"/>
    </row>
    <row r="25" spans="1:10" ht="23.1" customHeight="1">
      <c r="A25" s="26"/>
      <c r="B25" s="26"/>
      <c r="C25" s="26"/>
      <c r="D25" s="27" t="s">
        <v>432</v>
      </c>
      <c r="E25" s="142" t="s">
        <v>431</v>
      </c>
      <c r="F25" s="142"/>
      <c r="G25" s="27" t="s">
        <v>2151</v>
      </c>
      <c r="H25" s="34">
        <f>Tabung!F15</f>
        <v>3300000</v>
      </c>
      <c r="I25" s="34">
        <f>Tabung!G15</f>
        <v>3300000</v>
      </c>
      <c r="J25" s="37"/>
    </row>
    <row r="26" spans="1:10" ht="23.1" customHeight="1">
      <c r="A26" s="26"/>
      <c r="B26" s="26"/>
      <c r="C26" s="26"/>
      <c r="D26" s="27" t="s">
        <v>434</v>
      </c>
      <c r="E26" s="142" t="s">
        <v>433</v>
      </c>
      <c r="F26" s="142"/>
      <c r="G26" s="27" t="s">
        <v>2151</v>
      </c>
      <c r="H26" s="34">
        <f>Tabung!F14</f>
        <v>2200000</v>
      </c>
      <c r="I26" s="34">
        <f>Tabung!G14</f>
        <v>2200000</v>
      </c>
      <c r="J26" s="37"/>
    </row>
    <row r="27" spans="1:10" ht="23.1" customHeight="1">
      <c r="A27" s="26"/>
      <c r="B27" s="26"/>
      <c r="C27" s="26"/>
      <c r="D27" s="27" t="s">
        <v>402</v>
      </c>
      <c r="E27" s="142" t="s">
        <v>401</v>
      </c>
      <c r="F27" s="142"/>
      <c r="G27" s="27" t="s">
        <v>2151</v>
      </c>
      <c r="H27" s="34">
        <f>Kran!F52</f>
        <v>6000000</v>
      </c>
      <c r="I27" s="34">
        <f>Kran!G52</f>
        <v>6250000</v>
      </c>
      <c r="J27" s="37"/>
    </row>
    <row r="28" spans="1:10" ht="23.1" customHeight="1">
      <c r="A28" s="26"/>
      <c r="B28" s="26"/>
      <c r="C28" s="26"/>
      <c r="D28" s="27" t="s">
        <v>398</v>
      </c>
      <c r="E28" s="142" t="s">
        <v>2148</v>
      </c>
      <c r="F28" s="142"/>
      <c r="G28" s="27" t="s">
        <v>2151</v>
      </c>
      <c r="H28" s="34">
        <f>Tabung!F58</f>
        <v>35000000</v>
      </c>
      <c r="I28" s="34">
        <f>Tabung!G58</f>
        <v>36000000</v>
      </c>
      <c r="J28" s="37"/>
    </row>
    <row r="29" spans="1:10" ht="23.1" customHeight="1">
      <c r="A29" s="26"/>
      <c r="B29" s="26"/>
      <c r="C29" s="26"/>
      <c r="D29" s="27" t="s">
        <v>506</v>
      </c>
      <c r="E29" s="142" t="s">
        <v>505</v>
      </c>
      <c r="F29" s="142"/>
      <c r="G29" s="27" t="s">
        <v>2151</v>
      </c>
      <c r="H29" s="34">
        <f>Kran!F72</f>
        <v>175000</v>
      </c>
      <c r="I29" s="34">
        <f>Kran!G72</f>
        <v>175000</v>
      </c>
      <c r="J29" s="37"/>
    </row>
    <row r="30" spans="1:10" ht="28.5" customHeight="1">
      <c r="A30" s="26"/>
      <c r="B30" s="26"/>
      <c r="C30" s="26"/>
      <c r="D30" s="27" t="s">
        <v>508</v>
      </c>
      <c r="E30" s="142" t="s">
        <v>507</v>
      </c>
      <c r="F30" s="142"/>
      <c r="G30" s="27" t="s">
        <v>2151</v>
      </c>
      <c r="H30" s="34">
        <f>Kran!F68</f>
        <v>140000</v>
      </c>
      <c r="I30" s="34">
        <f>Kran!G68</f>
        <v>140000</v>
      </c>
      <c r="J30" s="37"/>
    </row>
    <row r="31" spans="1:10" ht="28.5" customHeight="1">
      <c r="A31" s="26"/>
      <c r="B31" s="26"/>
      <c r="C31" s="26"/>
      <c r="D31" s="27" t="s">
        <v>510</v>
      </c>
      <c r="E31" s="142" t="s">
        <v>509</v>
      </c>
      <c r="F31" s="142"/>
      <c r="G31" s="27" t="s">
        <v>2151</v>
      </c>
      <c r="H31" s="34">
        <f>Kran!F69</f>
        <v>140000</v>
      </c>
      <c r="I31" s="34">
        <f>Kran!G69</f>
        <v>140000</v>
      </c>
      <c r="J31" s="37"/>
    </row>
    <row r="32" spans="1:10" ht="23.1" customHeight="1">
      <c r="A32" s="26"/>
      <c r="B32" s="26"/>
      <c r="C32" s="26"/>
      <c r="D32" s="27" t="s">
        <v>512</v>
      </c>
      <c r="E32" s="142" t="s">
        <v>511</v>
      </c>
      <c r="F32" s="142"/>
      <c r="G32" s="27" t="s">
        <v>2151</v>
      </c>
      <c r="H32" s="34">
        <f>Kran!F70</f>
        <v>280000</v>
      </c>
      <c r="I32" s="34">
        <f>Kran!G70</f>
        <v>280000</v>
      </c>
      <c r="J32" s="37"/>
    </row>
    <row r="33" spans="1:10" ht="23.1" customHeight="1">
      <c r="A33" s="26"/>
      <c r="B33" s="26"/>
      <c r="C33" s="26"/>
      <c r="D33" s="27" t="s">
        <v>514</v>
      </c>
      <c r="E33" s="142" t="s">
        <v>513</v>
      </c>
      <c r="F33" s="142"/>
      <c r="G33" s="27" t="s">
        <v>2151</v>
      </c>
      <c r="H33" s="34">
        <f>Kran!F66</f>
        <v>165000</v>
      </c>
      <c r="I33" s="34">
        <f>Kran!G66</f>
        <v>165000</v>
      </c>
      <c r="J33" s="37"/>
    </row>
    <row r="34" spans="1:10" ht="23.1" customHeight="1">
      <c r="A34" s="26"/>
      <c r="B34" s="26"/>
      <c r="C34" s="26"/>
      <c r="D34" s="27" t="s">
        <v>516</v>
      </c>
      <c r="E34" s="142" t="s">
        <v>515</v>
      </c>
      <c r="F34" s="142"/>
      <c r="G34" s="27" t="s">
        <v>2151</v>
      </c>
      <c r="H34" s="34">
        <f>Kran!F71</f>
        <v>550000</v>
      </c>
      <c r="I34" s="34">
        <f>Kran!G71</f>
        <v>550000</v>
      </c>
      <c r="J34" s="37"/>
    </row>
    <row r="35" spans="1:10" ht="23.1" customHeight="1">
      <c r="A35" s="26"/>
      <c r="B35" s="26"/>
      <c r="C35" s="26"/>
      <c r="D35" s="27" t="s">
        <v>518</v>
      </c>
      <c r="E35" s="142" t="s">
        <v>517</v>
      </c>
      <c r="F35" s="142"/>
      <c r="G35" s="27" t="s">
        <v>2151</v>
      </c>
      <c r="H35" s="34">
        <f>Kran!F64</f>
        <v>125000</v>
      </c>
      <c r="I35" s="34">
        <f>Kran!G64</f>
        <v>125000</v>
      </c>
      <c r="J35" s="37"/>
    </row>
    <row r="36" spans="1:10" ht="23.1" customHeight="1">
      <c r="A36" s="26"/>
      <c r="B36" s="26"/>
      <c r="C36" s="26"/>
      <c r="D36" s="27" t="s">
        <v>519</v>
      </c>
      <c r="E36" s="142" t="s">
        <v>42</v>
      </c>
      <c r="F36" s="142"/>
      <c r="G36" s="27" t="s">
        <v>2151</v>
      </c>
      <c r="H36" s="34">
        <f>Kran!F65</f>
        <v>550000</v>
      </c>
      <c r="I36" s="34">
        <f>Kran!G65</f>
        <v>550000</v>
      </c>
      <c r="J36" s="37"/>
    </row>
    <row r="37" spans="1:10" ht="23.1" customHeight="1">
      <c r="A37" s="26"/>
      <c r="B37" s="26"/>
      <c r="C37" s="26"/>
      <c r="D37" s="27" t="s">
        <v>520</v>
      </c>
      <c r="E37" s="142" t="s">
        <v>40</v>
      </c>
      <c r="F37" s="142"/>
      <c r="G37" s="27" t="s">
        <v>2151</v>
      </c>
      <c r="H37" s="34">
        <v>20000</v>
      </c>
      <c r="I37" s="34">
        <v>20000</v>
      </c>
      <c r="J37" s="37"/>
    </row>
    <row r="38" spans="1:10" ht="23.1" customHeight="1">
      <c r="A38" s="26"/>
      <c r="B38" s="26"/>
      <c r="C38" s="26"/>
      <c r="D38" s="27" t="s">
        <v>2392</v>
      </c>
      <c r="E38" s="142" t="s">
        <v>2391</v>
      </c>
      <c r="F38" s="142"/>
      <c r="G38" s="27" t="s">
        <v>2151</v>
      </c>
      <c r="H38" s="34">
        <f>Gas!D142</f>
        <v>50000</v>
      </c>
      <c r="I38" s="34">
        <f>Gas!E142</f>
        <v>135000</v>
      </c>
      <c r="J38" s="37"/>
    </row>
    <row r="39" spans="1:10" ht="23.1" customHeight="1">
      <c r="A39" s="26"/>
      <c r="B39" s="26"/>
      <c r="C39" s="26"/>
      <c r="D39" s="27" t="s">
        <v>2390</v>
      </c>
      <c r="E39" s="142" t="s">
        <v>2389</v>
      </c>
      <c r="F39" s="142"/>
      <c r="G39" s="27" t="s">
        <v>2151</v>
      </c>
      <c r="H39" s="34">
        <f>Gas!D142</f>
        <v>50000</v>
      </c>
      <c r="I39" s="34">
        <f>Gas!E142</f>
        <v>135000</v>
      </c>
      <c r="J39" s="37"/>
    </row>
    <row r="40" spans="1:10" ht="23.1" customHeight="1">
      <c r="A40" s="26"/>
      <c r="B40" s="26"/>
      <c r="C40" s="26"/>
      <c r="D40" s="27" t="s">
        <v>2144</v>
      </c>
      <c r="E40" s="142" t="s">
        <v>2143</v>
      </c>
      <c r="F40" s="142"/>
      <c r="G40" s="27" t="s">
        <v>2151</v>
      </c>
      <c r="H40" s="34">
        <f>Gas!D69</f>
        <v>168750</v>
      </c>
      <c r="I40" s="34">
        <f>Gas!E69</f>
        <v>162500</v>
      </c>
      <c r="J40" s="37"/>
    </row>
    <row r="41" spans="1:10" ht="23.1" customHeight="1">
      <c r="A41" s="26"/>
      <c r="B41" s="26"/>
      <c r="C41" s="26"/>
      <c r="D41" s="27" t="s">
        <v>1160</v>
      </c>
      <c r="E41" s="142" t="s">
        <v>2388</v>
      </c>
      <c r="F41" s="142"/>
      <c r="G41" s="27" t="s">
        <v>2151</v>
      </c>
      <c r="H41" s="34">
        <f>Gas!D129</f>
        <v>17000</v>
      </c>
      <c r="I41" s="34">
        <f>Gas!E129</f>
        <v>17000</v>
      </c>
      <c r="J41" s="37"/>
    </row>
    <row r="42" spans="1:10" ht="23.1" customHeight="1">
      <c r="A42" s="26"/>
      <c r="B42" s="26"/>
      <c r="C42" s="26"/>
      <c r="D42" s="27" t="s">
        <v>1156</v>
      </c>
      <c r="E42" s="142" t="s">
        <v>2387</v>
      </c>
      <c r="F42" s="142"/>
      <c r="G42" s="27" t="s">
        <v>2151</v>
      </c>
      <c r="H42" s="34">
        <f>Gas!D110</f>
        <v>375000</v>
      </c>
      <c r="I42" s="34">
        <f>Gas!E110</f>
        <v>375000</v>
      </c>
      <c r="J42" s="37"/>
    </row>
    <row r="43" spans="1:10" ht="23.1" customHeight="1">
      <c r="A43" s="26"/>
      <c r="B43" s="26"/>
      <c r="C43" s="26"/>
      <c r="D43" s="27" t="s">
        <v>1166</v>
      </c>
      <c r="E43" s="142" t="s">
        <v>2386</v>
      </c>
      <c r="F43" s="142"/>
      <c r="G43" s="27" t="s">
        <v>2151</v>
      </c>
      <c r="H43" s="34">
        <f>Gas!D132</f>
        <v>28000</v>
      </c>
      <c r="I43" s="34">
        <f>Gas!E132</f>
        <v>28000</v>
      </c>
      <c r="J43" s="37"/>
    </row>
    <row r="44" spans="1:10" ht="23.1" customHeight="1">
      <c r="A44" s="26"/>
      <c r="B44" s="26"/>
      <c r="C44" s="26"/>
      <c r="D44" s="27" t="s">
        <v>1158</v>
      </c>
      <c r="E44" s="142" t="s">
        <v>2385</v>
      </c>
      <c r="F44" s="142"/>
      <c r="G44" s="27" t="s">
        <v>2151</v>
      </c>
      <c r="H44" s="34">
        <f>Gas!D128</f>
        <v>17000</v>
      </c>
      <c r="I44" s="34">
        <f>Gas!E128</f>
        <v>17000</v>
      </c>
      <c r="J44" s="37"/>
    </row>
    <row r="45" spans="1:10" ht="23.1" customHeight="1">
      <c r="A45" s="26"/>
      <c r="B45" s="26"/>
      <c r="C45" s="26"/>
      <c r="D45" s="27" t="s">
        <v>1178</v>
      </c>
      <c r="E45" s="142" t="s">
        <v>2384</v>
      </c>
      <c r="F45" s="142"/>
      <c r="G45" s="27" t="s">
        <v>2151</v>
      </c>
      <c r="H45" s="34">
        <f>Gas!D136</f>
        <v>7770000</v>
      </c>
      <c r="I45" s="34">
        <f>Gas!E136</f>
        <v>0</v>
      </c>
      <c r="J45" s="37"/>
    </row>
    <row r="46" spans="1:10" ht="23.1" customHeight="1">
      <c r="A46" s="26"/>
      <c r="B46" s="26"/>
      <c r="C46" s="26"/>
      <c r="D46" s="27" t="s">
        <v>1164</v>
      </c>
      <c r="E46" s="142" t="s">
        <v>2383</v>
      </c>
      <c r="F46" s="142"/>
      <c r="G46" s="27" t="s">
        <v>2151</v>
      </c>
      <c r="H46" s="34">
        <f>Gas!D131</f>
        <v>22500</v>
      </c>
      <c r="I46" s="34">
        <f>Gas!E131</f>
        <v>22500</v>
      </c>
      <c r="J46" s="37"/>
    </row>
    <row r="47" spans="1:10" ht="23.1" customHeight="1">
      <c r="A47" s="26"/>
      <c r="B47" s="26"/>
      <c r="C47" s="26"/>
      <c r="D47" s="27" t="s">
        <v>1168</v>
      </c>
      <c r="E47" s="142" t="s">
        <v>2382</v>
      </c>
      <c r="F47" s="142"/>
      <c r="G47" s="27" t="s">
        <v>2151</v>
      </c>
      <c r="H47" s="34">
        <f>Gas!D133</f>
        <v>27500</v>
      </c>
      <c r="I47" s="34">
        <f>Gas!E133</f>
        <v>33000</v>
      </c>
      <c r="J47" s="37"/>
    </row>
    <row r="48" spans="1:10" ht="23.1" customHeight="1">
      <c r="A48" s="26"/>
      <c r="B48" s="26"/>
      <c r="C48" s="26"/>
      <c r="D48" s="27" t="s">
        <v>1162</v>
      </c>
      <c r="E48" s="142" t="s">
        <v>2381</v>
      </c>
      <c r="F48" s="142"/>
      <c r="G48" s="27" t="s">
        <v>2151</v>
      </c>
      <c r="H48" s="34">
        <f>Gas!D130</f>
        <v>22500</v>
      </c>
      <c r="I48" s="34">
        <f>Gas!E130</f>
        <v>22500</v>
      </c>
      <c r="J48" s="37"/>
    </row>
    <row r="49" spans="1:10" ht="23.1" customHeight="1">
      <c r="A49" s="26"/>
      <c r="B49" s="26"/>
      <c r="C49" s="26"/>
      <c r="D49" s="27" t="s">
        <v>1176</v>
      </c>
      <c r="E49" s="142" t="s">
        <v>2380</v>
      </c>
      <c r="F49" s="142"/>
      <c r="G49" s="27" t="s">
        <v>2151</v>
      </c>
      <c r="H49" s="34">
        <f>Gas!D137</f>
        <v>32500</v>
      </c>
      <c r="I49" s="34">
        <f>Gas!E137</f>
        <v>33000</v>
      </c>
      <c r="J49" s="37"/>
    </row>
    <row r="50" spans="1:10" ht="23.1" customHeight="1">
      <c r="A50" s="26"/>
      <c r="B50" s="26"/>
      <c r="C50" s="26"/>
      <c r="D50" s="27" t="s">
        <v>2075</v>
      </c>
      <c r="E50" s="142" t="s">
        <v>2379</v>
      </c>
      <c r="F50" s="142"/>
      <c r="G50" s="27" t="s">
        <v>2151</v>
      </c>
      <c r="H50" s="34">
        <f>Gas!D133</f>
        <v>27500</v>
      </c>
      <c r="I50" s="34">
        <f>Gas!E133</f>
        <v>33000</v>
      </c>
      <c r="J50" s="37"/>
    </row>
    <row r="51" spans="1:10" ht="23.1" customHeight="1">
      <c r="A51" s="26"/>
      <c r="B51" s="26"/>
      <c r="C51" s="26"/>
      <c r="D51" s="27" t="s">
        <v>2077</v>
      </c>
      <c r="E51" s="142" t="s">
        <v>2378</v>
      </c>
      <c r="F51" s="142"/>
      <c r="G51" s="27" t="s">
        <v>2151</v>
      </c>
      <c r="H51" s="34">
        <f>Gas!D137</f>
        <v>32500</v>
      </c>
      <c r="I51" s="34">
        <f>Gas!E137</f>
        <v>33000</v>
      </c>
      <c r="J51" s="37"/>
    </row>
    <row r="52" spans="1:10" ht="23.1" customHeight="1">
      <c r="A52" s="26"/>
      <c r="B52" s="26"/>
      <c r="C52" s="26"/>
      <c r="D52" s="27" t="s">
        <v>1150</v>
      </c>
      <c r="E52" s="142" t="s">
        <v>2377</v>
      </c>
      <c r="F52" s="142"/>
      <c r="G52" s="27" t="s">
        <v>2151</v>
      </c>
      <c r="H52" s="34">
        <f>Gas!D111</f>
        <v>35000</v>
      </c>
      <c r="I52" s="34">
        <f>Gas!E111</f>
        <v>40000</v>
      </c>
      <c r="J52" s="37"/>
    </row>
    <row r="53" spans="1:10" ht="23.1" customHeight="1">
      <c r="A53" s="26"/>
      <c r="B53" s="26"/>
      <c r="C53" s="26"/>
      <c r="D53" s="27" t="s">
        <v>1138</v>
      </c>
      <c r="E53" s="142" t="s">
        <v>2376</v>
      </c>
      <c r="F53" s="142"/>
      <c r="G53" s="27" t="s">
        <v>2151</v>
      </c>
      <c r="H53" s="34">
        <f>Gas!D106</f>
        <v>30000</v>
      </c>
      <c r="I53" s="34">
        <f>Gas!E106</f>
        <v>30000</v>
      </c>
      <c r="J53" s="37"/>
    </row>
    <row r="54" spans="1:10" ht="23.1" customHeight="1">
      <c r="A54" s="26"/>
      <c r="B54" s="26"/>
      <c r="C54" s="26"/>
      <c r="D54" s="27" t="s">
        <v>1142</v>
      </c>
      <c r="E54" s="142" t="s">
        <v>2375</v>
      </c>
      <c r="F54" s="142"/>
      <c r="G54" s="27" t="s">
        <v>2151</v>
      </c>
      <c r="H54" s="34">
        <f>Gas!D106</f>
        <v>30000</v>
      </c>
      <c r="I54" s="34">
        <f>Gas!E106</f>
        <v>30000</v>
      </c>
      <c r="J54" s="37"/>
    </row>
    <row r="55" spans="1:10" ht="23.1" customHeight="1">
      <c r="A55" s="26"/>
      <c r="B55" s="26"/>
      <c r="C55" s="26"/>
      <c r="D55" s="27" t="s">
        <v>1144</v>
      </c>
      <c r="E55" s="142" t="s">
        <v>2374</v>
      </c>
      <c r="F55" s="142"/>
      <c r="G55" s="27" t="s">
        <v>2151</v>
      </c>
      <c r="H55" s="34"/>
      <c r="I55" s="34"/>
      <c r="J55" s="37"/>
    </row>
    <row r="56" spans="1:10" ht="23.1" customHeight="1">
      <c r="A56" s="26"/>
      <c r="B56" s="26"/>
      <c r="C56" s="26"/>
      <c r="D56" s="27" t="s">
        <v>1146</v>
      </c>
      <c r="E56" s="142" t="s">
        <v>2373</v>
      </c>
      <c r="F56" s="142"/>
      <c r="G56" s="27" t="s">
        <v>2151</v>
      </c>
      <c r="H56" s="34">
        <f>Gas!D106</f>
        <v>30000</v>
      </c>
      <c r="I56" s="34">
        <f>Gas!E106</f>
        <v>30000</v>
      </c>
      <c r="J56" s="37"/>
    </row>
    <row r="57" spans="1:10" ht="23.1" customHeight="1">
      <c r="A57" s="26"/>
      <c r="B57" s="26"/>
      <c r="C57" s="26"/>
      <c r="D57" s="27" t="s">
        <v>1152</v>
      </c>
      <c r="E57" s="142" t="s">
        <v>2372</v>
      </c>
      <c r="F57" s="142"/>
      <c r="G57" s="27" t="s">
        <v>2151</v>
      </c>
      <c r="H57" s="34">
        <f>Gas!D112</f>
        <v>40000</v>
      </c>
      <c r="I57" s="34">
        <f>Gas!E112</f>
        <v>40000</v>
      </c>
      <c r="J57" s="37"/>
    </row>
    <row r="58" spans="1:10" ht="23.1" customHeight="1">
      <c r="A58" s="26"/>
      <c r="B58" s="26"/>
      <c r="C58" s="26"/>
      <c r="D58" s="27" t="s">
        <v>1148</v>
      </c>
      <c r="E58" s="142" t="s">
        <v>2136</v>
      </c>
      <c r="F58" s="142"/>
      <c r="G58" s="27" t="s">
        <v>2151</v>
      </c>
      <c r="H58" s="34">
        <f>Gas!D111</f>
        <v>35000</v>
      </c>
      <c r="I58" s="34">
        <f>Gas!E111</f>
        <v>40000</v>
      </c>
      <c r="J58" s="37"/>
    </row>
    <row r="59" spans="1:10" ht="23.1" customHeight="1">
      <c r="A59" s="26"/>
      <c r="B59" s="26"/>
      <c r="C59" s="26"/>
      <c r="D59" s="27" t="s">
        <v>1184</v>
      </c>
      <c r="E59" s="142" t="s">
        <v>2371</v>
      </c>
      <c r="F59" s="142"/>
      <c r="G59" s="27" t="s">
        <v>2151</v>
      </c>
      <c r="H59" s="34">
        <f>Gas!D106</f>
        <v>30000</v>
      </c>
      <c r="I59" s="34">
        <f>Gas!E106</f>
        <v>30000</v>
      </c>
      <c r="J59" s="37"/>
    </row>
    <row r="60" spans="1:10" ht="23.1" customHeight="1">
      <c r="A60" s="26"/>
      <c r="B60" s="26"/>
      <c r="C60" s="26"/>
      <c r="D60" s="27" t="s">
        <v>1182</v>
      </c>
      <c r="E60" s="142" t="s">
        <v>2370</v>
      </c>
      <c r="F60" s="142"/>
      <c r="G60" s="27" t="s">
        <v>2151</v>
      </c>
      <c r="H60" s="34">
        <f>Gas!D106</f>
        <v>30000</v>
      </c>
      <c r="I60" s="34">
        <f>Gas!E106</f>
        <v>30000</v>
      </c>
      <c r="J60" s="37"/>
    </row>
    <row r="61" spans="1:10" ht="23.1" customHeight="1">
      <c r="A61" s="26"/>
      <c r="B61" s="26"/>
      <c r="C61" s="26"/>
      <c r="D61" s="27" t="s">
        <v>1186</v>
      </c>
      <c r="E61" s="142" t="s">
        <v>2369</v>
      </c>
      <c r="F61" s="142"/>
      <c r="G61" s="27" t="s">
        <v>2151</v>
      </c>
      <c r="H61" s="34">
        <f>Gas!D106</f>
        <v>30000</v>
      </c>
      <c r="I61" s="34">
        <f>Gas!E106</f>
        <v>30000</v>
      </c>
      <c r="J61" s="37"/>
    </row>
    <row r="62" spans="1:10" ht="23.1" customHeight="1">
      <c r="A62" s="26"/>
      <c r="B62" s="26"/>
      <c r="C62" s="26"/>
      <c r="D62" s="27" t="s">
        <v>1194</v>
      </c>
      <c r="E62" s="142" t="s">
        <v>2368</v>
      </c>
      <c r="F62" s="142"/>
      <c r="G62" s="27" t="s">
        <v>2151</v>
      </c>
      <c r="H62" s="34">
        <f>Gas!D111</f>
        <v>35000</v>
      </c>
      <c r="I62" s="34">
        <f>Gas!E111</f>
        <v>40000</v>
      </c>
      <c r="J62" s="37"/>
    </row>
    <row r="63" spans="1:10" ht="23.1" customHeight="1">
      <c r="A63" s="26"/>
      <c r="B63" s="26"/>
      <c r="C63" s="26"/>
      <c r="D63" s="27" t="s">
        <v>1200</v>
      </c>
      <c r="E63" s="142" t="s">
        <v>2367</v>
      </c>
      <c r="F63" s="142"/>
      <c r="G63" s="27" t="s">
        <v>2151</v>
      </c>
      <c r="H63" s="34">
        <f>Gas!D110</f>
        <v>375000</v>
      </c>
      <c r="I63" s="34">
        <f>Gas!E110</f>
        <v>375000</v>
      </c>
      <c r="J63" s="37"/>
    </row>
    <row r="64" spans="1:10" ht="23.1" customHeight="1">
      <c r="A64" s="26"/>
      <c r="B64" s="26"/>
      <c r="C64" s="26"/>
      <c r="D64" s="27" t="s">
        <v>1196</v>
      </c>
      <c r="E64" s="142" t="s">
        <v>2366</v>
      </c>
      <c r="F64" s="142"/>
      <c r="G64" s="27" t="s">
        <v>2151</v>
      </c>
      <c r="H64" s="34">
        <f>Gas!D112</f>
        <v>40000</v>
      </c>
      <c r="I64" s="34">
        <f>Gas!E112</f>
        <v>40000</v>
      </c>
      <c r="J64" s="37"/>
    </row>
    <row r="65" spans="1:10" ht="23.1" customHeight="1">
      <c r="A65" s="26"/>
      <c r="B65" s="26"/>
      <c r="C65" s="26"/>
      <c r="D65" s="27" t="s">
        <v>1212</v>
      </c>
      <c r="E65" s="142" t="s">
        <v>2365</v>
      </c>
      <c r="F65" s="142"/>
      <c r="G65" s="27" t="s">
        <v>2151</v>
      </c>
      <c r="H65" s="34">
        <f>Gas!D133</f>
        <v>27500</v>
      </c>
      <c r="I65" s="34">
        <f>Gas!E133</f>
        <v>33000</v>
      </c>
      <c r="J65" s="37"/>
    </row>
    <row r="66" spans="1:10" ht="23.1" customHeight="1">
      <c r="A66" s="26"/>
      <c r="B66" s="26"/>
      <c r="C66" s="26"/>
      <c r="D66" s="27" t="s">
        <v>1202</v>
      </c>
      <c r="E66" s="142" t="s">
        <v>2364</v>
      </c>
      <c r="F66" s="142"/>
      <c r="G66" s="27" t="s">
        <v>2151</v>
      </c>
      <c r="H66" s="34">
        <f>Gas!D128</f>
        <v>17000</v>
      </c>
      <c r="I66" s="34">
        <f>Gas!E128</f>
        <v>17000</v>
      </c>
      <c r="J66" s="37"/>
    </row>
    <row r="67" spans="1:10" ht="23.1" customHeight="1">
      <c r="A67" s="26"/>
      <c r="B67" s="26"/>
      <c r="C67" s="26"/>
      <c r="D67" s="27" t="s">
        <v>1204</v>
      </c>
      <c r="E67" s="142" t="s">
        <v>2363</v>
      </c>
      <c r="F67" s="142"/>
      <c r="G67" s="27" t="s">
        <v>2151</v>
      </c>
      <c r="H67" s="34">
        <f>Gas!D129</f>
        <v>17000</v>
      </c>
      <c r="I67" s="34">
        <f>Gas!E129</f>
        <v>17000</v>
      </c>
      <c r="J67" s="37"/>
    </row>
    <row r="68" spans="1:10" ht="23.1" customHeight="1">
      <c r="A68" s="26"/>
      <c r="B68" s="26"/>
      <c r="C68" s="26"/>
      <c r="D68" s="27" t="s">
        <v>1222</v>
      </c>
      <c r="E68" s="142" t="s">
        <v>2362</v>
      </c>
      <c r="F68" s="142"/>
      <c r="G68" s="27" t="s">
        <v>2151</v>
      </c>
      <c r="H68" s="34">
        <f>Gas!D136</f>
        <v>7770000</v>
      </c>
      <c r="I68" s="34">
        <f>Gas!E136</f>
        <v>0</v>
      </c>
      <c r="J68" s="37"/>
    </row>
    <row r="69" spans="1:10" ht="23.1" customHeight="1">
      <c r="A69" s="26"/>
      <c r="B69" s="26"/>
      <c r="C69" s="26"/>
      <c r="D69" s="27" t="s">
        <v>1220</v>
      </c>
      <c r="E69" s="142" t="s">
        <v>2361</v>
      </c>
      <c r="F69" s="142"/>
      <c r="G69" s="27" t="s">
        <v>2151</v>
      </c>
      <c r="H69" s="34">
        <f>Gas!D137</f>
        <v>32500</v>
      </c>
      <c r="I69" s="34">
        <f>Gas!E137</f>
        <v>33000</v>
      </c>
      <c r="J69" s="37"/>
    </row>
    <row r="70" spans="1:10" ht="23.1" customHeight="1">
      <c r="A70" s="26"/>
      <c r="B70" s="26"/>
      <c r="C70" s="26"/>
      <c r="D70" s="27" t="s">
        <v>1206</v>
      </c>
      <c r="E70" s="142" t="s">
        <v>2360</v>
      </c>
      <c r="F70" s="142"/>
      <c r="G70" s="27" t="s">
        <v>2151</v>
      </c>
      <c r="H70" s="34">
        <f>Gas!D130</f>
        <v>22500</v>
      </c>
      <c r="I70" s="34">
        <f>Gas!E130</f>
        <v>22500</v>
      </c>
      <c r="J70" s="37"/>
    </row>
    <row r="71" spans="1:10" ht="20.25" customHeight="1">
      <c r="A71" s="26"/>
      <c r="B71" s="26"/>
      <c r="C71" s="26"/>
      <c r="D71" s="27" t="s">
        <v>1188</v>
      </c>
      <c r="E71" s="142" t="s">
        <v>2358</v>
      </c>
      <c r="F71" s="142"/>
      <c r="G71" s="27" t="s">
        <v>2151</v>
      </c>
      <c r="H71" s="34" t="e">
        <f>Gas!#REF!</f>
        <v>#REF!</v>
      </c>
      <c r="I71" s="34" t="e">
        <f>Gas!#REF!</f>
        <v>#REF!</v>
      </c>
      <c r="J71" s="37"/>
    </row>
    <row r="72" spans="1:10" ht="23.1" customHeight="1">
      <c r="A72" s="26"/>
      <c r="B72" s="26"/>
      <c r="C72" s="26"/>
      <c r="D72" s="27" t="s">
        <v>1190</v>
      </c>
      <c r="E72" s="142" t="s">
        <v>2357</v>
      </c>
      <c r="F72" s="142"/>
      <c r="G72" s="27" t="s">
        <v>2151</v>
      </c>
      <c r="H72" s="34">
        <f>Gas!D106</f>
        <v>30000</v>
      </c>
      <c r="I72" s="34">
        <f>Gas!E106</f>
        <v>30000</v>
      </c>
      <c r="J72" s="37"/>
    </row>
    <row r="73" spans="1:10" ht="23.1" customHeight="1">
      <c r="A73" s="26"/>
      <c r="B73" s="26"/>
      <c r="C73" s="26"/>
      <c r="D73" s="27" t="s">
        <v>1192</v>
      </c>
      <c r="E73" s="142" t="s">
        <v>2356</v>
      </c>
      <c r="F73" s="142"/>
      <c r="G73" s="27" t="s">
        <v>2151</v>
      </c>
      <c r="H73" s="34">
        <f>Gas!D106</f>
        <v>30000</v>
      </c>
      <c r="I73" s="34">
        <f>Gas!E106</f>
        <v>30000</v>
      </c>
      <c r="J73" s="37"/>
    </row>
    <row r="74" spans="1:10" ht="23.1" customHeight="1">
      <c r="A74" s="26"/>
      <c r="B74" s="26"/>
      <c r="C74" s="26"/>
      <c r="D74" s="27" t="s">
        <v>1208</v>
      </c>
      <c r="E74" s="142" t="s">
        <v>2355</v>
      </c>
      <c r="F74" s="142"/>
      <c r="G74" s="27" t="s">
        <v>2151</v>
      </c>
      <c r="H74" s="34">
        <f>Gas!D131</f>
        <v>22500</v>
      </c>
      <c r="I74" s="34">
        <f>Gas!E131</f>
        <v>22500</v>
      </c>
      <c r="J74" s="37"/>
    </row>
    <row r="75" spans="1:10" ht="23.1" customHeight="1">
      <c r="A75" s="26"/>
      <c r="B75" s="26"/>
      <c r="C75" s="26"/>
      <c r="D75" s="27" t="s">
        <v>1210</v>
      </c>
      <c r="E75" s="142" t="s">
        <v>2354</v>
      </c>
      <c r="F75" s="142"/>
      <c r="G75" s="27" t="s">
        <v>2151</v>
      </c>
      <c r="H75" s="34">
        <f>Gas!D132</f>
        <v>28000</v>
      </c>
      <c r="I75" s="34">
        <f>Gas!E132</f>
        <v>28000</v>
      </c>
      <c r="J75" s="37"/>
    </row>
    <row r="76" spans="1:10" ht="23.1" customHeight="1">
      <c r="A76" s="26"/>
      <c r="B76" s="26"/>
      <c r="C76" s="26"/>
      <c r="D76" s="27" t="s">
        <v>543</v>
      </c>
      <c r="E76" s="142" t="s">
        <v>542</v>
      </c>
      <c r="F76" s="142"/>
      <c r="G76" s="27" t="s">
        <v>2151</v>
      </c>
      <c r="H76" s="34">
        <f>Gas!D140</f>
        <v>35000</v>
      </c>
      <c r="I76" s="34">
        <f>Gas!E140</f>
        <v>60000</v>
      </c>
      <c r="J76" s="8"/>
    </row>
    <row r="77" spans="1:10" ht="23.1" customHeight="1">
      <c r="A77" s="26"/>
      <c r="B77" s="26"/>
      <c r="C77" s="26"/>
      <c r="D77" s="27" t="s">
        <v>545</v>
      </c>
      <c r="E77" s="142" t="s">
        <v>544</v>
      </c>
      <c r="F77" s="142"/>
      <c r="G77" s="27" t="s">
        <v>2151</v>
      </c>
      <c r="H77" s="34">
        <f>Gas!D141</f>
        <v>45000</v>
      </c>
      <c r="I77" s="34">
        <f>Gas!E141</f>
        <v>80000</v>
      </c>
      <c r="J77" s="8"/>
    </row>
    <row r="78" spans="1:10" ht="23.1" customHeight="1">
      <c r="A78" s="26"/>
      <c r="B78" s="26"/>
      <c r="C78" s="26"/>
      <c r="D78" s="27" t="s">
        <v>547</v>
      </c>
      <c r="E78" s="142" t="s">
        <v>546</v>
      </c>
      <c r="F78" s="142"/>
      <c r="G78" s="27" t="s">
        <v>2151</v>
      </c>
      <c r="H78" s="34">
        <f>Gas!D141</f>
        <v>45000</v>
      </c>
      <c r="I78" s="34">
        <f>Gas!E141</f>
        <v>80000</v>
      </c>
      <c r="J78" s="8"/>
    </row>
    <row r="79" spans="1:10" ht="23.1" customHeight="1">
      <c r="A79" s="26"/>
      <c r="B79" s="26"/>
      <c r="C79" s="26"/>
      <c r="D79" s="27" t="s">
        <v>549</v>
      </c>
      <c r="E79" s="142" t="s">
        <v>548</v>
      </c>
      <c r="F79" s="142"/>
      <c r="G79" s="27" t="s">
        <v>2151</v>
      </c>
      <c r="H79" s="34">
        <f>Gas!D142</f>
        <v>50000</v>
      </c>
      <c r="I79" s="34">
        <f>Gas!E142</f>
        <v>135000</v>
      </c>
      <c r="J79" s="8"/>
    </row>
    <row r="80" spans="1:10" ht="23.1" customHeight="1">
      <c r="A80" s="26"/>
      <c r="B80" s="26"/>
      <c r="C80" s="26"/>
      <c r="D80" s="27" t="s">
        <v>551</v>
      </c>
      <c r="E80" s="142" t="s">
        <v>550</v>
      </c>
      <c r="F80" s="142"/>
      <c r="G80" s="27" t="s">
        <v>2151</v>
      </c>
      <c r="H80" s="34">
        <f>Gas!D142</f>
        <v>50000</v>
      </c>
      <c r="I80" s="34">
        <f>Gas!E142</f>
        <v>135000</v>
      </c>
      <c r="J80" s="8"/>
    </row>
    <row r="81" spans="1:10" ht="23.1" customHeight="1">
      <c r="A81" s="26"/>
      <c r="B81" s="26"/>
      <c r="C81" s="26"/>
      <c r="D81" s="27" t="s">
        <v>553</v>
      </c>
      <c r="E81" s="142" t="s">
        <v>552</v>
      </c>
      <c r="F81" s="142"/>
      <c r="G81" s="27" t="s">
        <v>2151</v>
      </c>
      <c r="H81" s="34" t="e">
        <f>Gas!#REF!</f>
        <v>#REF!</v>
      </c>
      <c r="I81" s="34" t="e">
        <f>Gas!#REF!</f>
        <v>#REF!</v>
      </c>
      <c r="J81" s="8"/>
    </row>
    <row r="82" spans="1:10" ht="23.1" customHeight="1">
      <c r="A82" s="26"/>
      <c r="B82" s="26"/>
      <c r="C82" s="26"/>
      <c r="D82" s="27" t="s">
        <v>555</v>
      </c>
      <c r="E82" s="142" t="s">
        <v>554</v>
      </c>
      <c r="F82" s="142"/>
      <c r="G82" s="27" t="s">
        <v>2151</v>
      </c>
      <c r="H82" s="34" t="e">
        <f>Gas!#REF!</f>
        <v>#REF!</v>
      </c>
      <c r="I82" s="34" t="e">
        <f>Gas!#REF!</f>
        <v>#REF!</v>
      </c>
      <c r="J82" s="8"/>
    </row>
    <row r="83" spans="1:10" ht="23.1" customHeight="1">
      <c r="A83" s="26"/>
      <c r="B83" s="26"/>
      <c r="C83" s="26"/>
      <c r="D83" s="27" t="s">
        <v>557</v>
      </c>
      <c r="E83" s="142" t="s">
        <v>556</v>
      </c>
      <c r="F83" s="142"/>
      <c r="G83" s="27" t="s">
        <v>2151</v>
      </c>
      <c r="H83" s="34">
        <f>Gas!D139</f>
        <v>46000</v>
      </c>
      <c r="I83" s="34">
        <f>Gas!E139</f>
        <v>55000</v>
      </c>
      <c r="J83" s="8"/>
    </row>
    <row r="84" spans="1:10" ht="23.1" customHeight="1">
      <c r="A84" s="26"/>
      <c r="B84" s="26"/>
      <c r="C84" s="26"/>
      <c r="D84" s="27" t="s">
        <v>559</v>
      </c>
      <c r="E84" s="142" t="s">
        <v>558</v>
      </c>
      <c r="F84" s="142"/>
      <c r="G84" s="27" t="s">
        <v>2151</v>
      </c>
      <c r="H84" s="34">
        <f>Gas!D78</f>
        <v>0</v>
      </c>
      <c r="I84" s="34">
        <f>Gas!E78</f>
        <v>0</v>
      </c>
      <c r="J84" s="8"/>
    </row>
    <row r="85" spans="1:10" ht="23.1" customHeight="1">
      <c r="A85" s="26"/>
      <c r="B85" s="26"/>
      <c r="C85" s="26"/>
      <c r="D85" s="27" t="s">
        <v>561</v>
      </c>
      <c r="E85" s="142" t="s">
        <v>560</v>
      </c>
      <c r="F85" s="142"/>
      <c r="G85" s="27" t="s">
        <v>2151</v>
      </c>
      <c r="H85" s="34">
        <f>Gas!D76</f>
        <v>0</v>
      </c>
      <c r="I85" s="34">
        <f>Gas!E76</f>
        <v>0</v>
      </c>
      <c r="J85" s="8"/>
    </row>
    <row r="86" spans="1:10" ht="23.1" customHeight="1">
      <c r="A86" s="26"/>
      <c r="B86" s="26"/>
      <c r="C86" s="26"/>
      <c r="D86" s="27" t="s">
        <v>563</v>
      </c>
      <c r="E86" s="142" t="s">
        <v>562</v>
      </c>
      <c r="F86" s="142"/>
      <c r="G86" s="27" t="s">
        <v>2151</v>
      </c>
      <c r="H86" s="34">
        <f>Gas!D77</f>
        <v>0</v>
      </c>
      <c r="I86" s="34">
        <f>Gas!E77</f>
        <v>0</v>
      </c>
      <c r="J86" s="8"/>
    </row>
    <row r="87" spans="1:10" ht="23.1" customHeight="1">
      <c r="A87" s="26"/>
      <c r="B87" s="26"/>
      <c r="C87" s="26"/>
      <c r="D87" s="27" t="s">
        <v>565</v>
      </c>
      <c r="E87" s="142" t="s">
        <v>564</v>
      </c>
      <c r="F87" s="142"/>
      <c r="G87" s="27" t="s">
        <v>2151</v>
      </c>
      <c r="H87" s="34">
        <f>Gas!D80</f>
        <v>0</v>
      </c>
      <c r="I87" s="34">
        <f>Gas!E80</f>
        <v>0</v>
      </c>
      <c r="J87" s="8"/>
    </row>
    <row r="88" spans="1:10" ht="23.1" customHeight="1">
      <c r="A88" s="26"/>
      <c r="B88" s="26"/>
      <c r="C88" s="26"/>
      <c r="D88" s="27" t="s">
        <v>567</v>
      </c>
      <c r="E88" s="142" t="s">
        <v>566</v>
      </c>
      <c r="F88" s="142"/>
      <c r="G88" s="27" t="s">
        <v>2151</v>
      </c>
      <c r="H88" s="34">
        <f>Gas!D79</f>
        <v>0</v>
      </c>
      <c r="I88" s="34">
        <f>Gas!E79</f>
        <v>0</v>
      </c>
      <c r="J88" s="8"/>
    </row>
    <row r="89" spans="1:10" ht="23.1" customHeight="1">
      <c r="A89" s="26"/>
      <c r="B89" s="26"/>
      <c r="C89" s="26"/>
      <c r="D89" s="27" t="s">
        <v>569</v>
      </c>
      <c r="E89" s="142" t="s">
        <v>568</v>
      </c>
      <c r="F89" s="142"/>
      <c r="G89" s="27" t="s">
        <v>2151</v>
      </c>
      <c r="H89" s="34">
        <f>Gas!D81</f>
        <v>0</v>
      </c>
      <c r="I89" s="34">
        <f>Gas!E81</f>
        <v>0</v>
      </c>
      <c r="J89" s="8"/>
    </row>
    <row r="90" spans="1:10" ht="23.1" customHeight="1">
      <c r="A90" s="26"/>
      <c r="B90" s="26"/>
      <c r="C90" s="26"/>
      <c r="D90" s="27" t="s">
        <v>571</v>
      </c>
      <c r="E90" s="142" t="s">
        <v>570</v>
      </c>
      <c r="F90" s="142"/>
      <c r="G90" s="27" t="s">
        <v>2151</v>
      </c>
      <c r="H90" s="34">
        <f>Gas!D82</f>
        <v>6000000</v>
      </c>
      <c r="I90" s="34">
        <f>Gas!E82</f>
        <v>0</v>
      </c>
      <c r="J90" s="8"/>
    </row>
    <row r="91" spans="1:10" ht="23.1" customHeight="1">
      <c r="A91" s="26"/>
      <c r="B91" s="26"/>
      <c r="C91" s="26"/>
      <c r="D91" s="27" t="s">
        <v>573</v>
      </c>
      <c r="E91" s="142" t="s">
        <v>572</v>
      </c>
      <c r="F91" s="142"/>
      <c r="G91" s="27" t="s">
        <v>2151</v>
      </c>
      <c r="H91" s="34">
        <f>Gas!D83</f>
        <v>0</v>
      </c>
      <c r="I91" s="34">
        <f>Gas!E83</f>
        <v>0</v>
      </c>
      <c r="J91" s="8"/>
    </row>
    <row r="92" spans="1:10" ht="23.25" customHeight="1">
      <c r="A92" s="26"/>
      <c r="B92" s="26"/>
      <c r="C92" s="26"/>
      <c r="D92" s="27" t="s">
        <v>576</v>
      </c>
      <c r="E92" s="142" t="s">
        <v>575</v>
      </c>
      <c r="F92" s="142"/>
      <c r="G92" s="27" t="s">
        <v>2151</v>
      </c>
      <c r="H92" s="34">
        <f>Gas!D84</f>
        <v>0</v>
      </c>
      <c r="I92" s="34">
        <f>Gas!E84</f>
        <v>0</v>
      </c>
      <c r="J92" s="8"/>
    </row>
    <row r="93" spans="1:10" ht="23.1" customHeight="1">
      <c r="A93" s="26"/>
      <c r="B93" s="26"/>
      <c r="C93" s="26"/>
      <c r="D93" s="27" t="s">
        <v>604</v>
      </c>
      <c r="E93" s="142" t="s">
        <v>603</v>
      </c>
      <c r="F93" s="142"/>
      <c r="G93" s="27" t="s">
        <v>2151</v>
      </c>
      <c r="H93" s="34">
        <f>Gas!D50</f>
        <v>40000</v>
      </c>
      <c r="I93" s="34">
        <f>Gas!E50</f>
        <v>40000</v>
      </c>
      <c r="J93" s="8"/>
    </row>
    <row r="94" spans="1:10" ht="23.1" customHeight="1">
      <c r="A94" s="26"/>
      <c r="B94" s="26"/>
      <c r="C94" s="26"/>
      <c r="D94" s="27" t="s">
        <v>606</v>
      </c>
      <c r="E94" s="142" t="s">
        <v>605</v>
      </c>
      <c r="F94" s="142"/>
      <c r="G94" s="27" t="s">
        <v>2151</v>
      </c>
      <c r="H94" s="34">
        <f>Gas!D53</f>
        <v>50000</v>
      </c>
      <c r="I94" s="34">
        <f>Gas!E53</f>
        <v>50000</v>
      </c>
      <c r="J94" s="8"/>
    </row>
    <row r="95" spans="1:10" ht="23.1" customHeight="1">
      <c r="A95" s="26"/>
      <c r="B95" s="26"/>
      <c r="C95" s="26"/>
      <c r="D95" s="27" t="s">
        <v>608</v>
      </c>
      <c r="E95" s="142" t="s">
        <v>607</v>
      </c>
      <c r="F95" s="142"/>
      <c r="G95" s="27" t="s">
        <v>2151</v>
      </c>
      <c r="H95" s="34">
        <f>Gas!D54</f>
        <v>60000</v>
      </c>
      <c r="I95" s="34">
        <f>Gas!E54</f>
        <v>60000</v>
      </c>
      <c r="J95" s="8"/>
    </row>
    <row r="96" spans="1:10" ht="23.1" customHeight="1">
      <c r="A96" s="26"/>
      <c r="B96" s="26"/>
      <c r="C96" s="26"/>
      <c r="D96" s="27" t="s">
        <v>610</v>
      </c>
      <c r="E96" s="142" t="s">
        <v>609</v>
      </c>
      <c r="F96" s="142"/>
      <c r="G96" s="27" t="s">
        <v>2151</v>
      </c>
      <c r="H96" s="34">
        <f>Gas!D55</f>
        <v>60000</v>
      </c>
      <c r="I96" s="34">
        <f>Gas!E55</f>
        <v>60000</v>
      </c>
      <c r="J96" s="8"/>
    </row>
    <row r="97" spans="1:10" ht="23.1" customHeight="1">
      <c r="A97" s="26"/>
      <c r="B97" s="26"/>
      <c r="C97" s="26"/>
      <c r="D97" s="27" t="s">
        <v>612</v>
      </c>
      <c r="E97" s="142" t="s">
        <v>611</v>
      </c>
      <c r="F97" s="142"/>
      <c r="G97" s="27" t="s">
        <v>2151</v>
      </c>
      <c r="H97" s="34">
        <f>Gas!D54</f>
        <v>60000</v>
      </c>
      <c r="I97" s="34">
        <f>Gas!E54</f>
        <v>60000</v>
      </c>
      <c r="J97" s="8"/>
    </row>
    <row r="98" spans="1:10" ht="23.1" customHeight="1">
      <c r="A98" s="26"/>
      <c r="B98" s="26"/>
      <c r="C98" s="26"/>
      <c r="D98" s="27" t="s">
        <v>614</v>
      </c>
      <c r="E98" s="142" t="s">
        <v>613</v>
      </c>
      <c r="F98" s="142"/>
      <c r="G98" s="27" t="s">
        <v>2151</v>
      </c>
      <c r="H98" s="34">
        <f>Gas!D58</f>
        <v>80000</v>
      </c>
      <c r="I98" s="34">
        <f>Gas!E58</f>
        <v>80000</v>
      </c>
      <c r="J98" s="8"/>
    </row>
    <row r="99" spans="1:10" ht="23.1" customHeight="1">
      <c r="A99" s="26"/>
      <c r="B99" s="26"/>
      <c r="C99" s="26"/>
      <c r="D99" s="27" t="s">
        <v>616</v>
      </c>
      <c r="E99" s="142" t="s">
        <v>615</v>
      </c>
      <c r="F99" s="142"/>
      <c r="G99" s="27" t="s">
        <v>2151</v>
      </c>
      <c r="H99" s="34">
        <f>Gas!D62</f>
        <v>100000</v>
      </c>
      <c r="I99" s="34">
        <f>Gas!E62</f>
        <v>100000</v>
      </c>
      <c r="J99" s="8"/>
    </row>
    <row r="100" spans="1:10" ht="23.1" customHeight="1">
      <c r="A100" s="26"/>
      <c r="B100" s="26"/>
      <c r="C100" s="26"/>
      <c r="D100" s="27" t="s">
        <v>618</v>
      </c>
      <c r="E100" s="142" t="s">
        <v>617</v>
      </c>
      <c r="F100" s="142"/>
      <c r="G100" s="27" t="s">
        <v>2151</v>
      </c>
      <c r="H100" s="34">
        <f>Gas!D64</f>
        <v>145000</v>
      </c>
      <c r="I100" s="34">
        <f>Gas!E64</f>
        <v>110000</v>
      </c>
      <c r="J100" s="8"/>
    </row>
    <row r="101" spans="1:10" ht="23.1" customHeight="1">
      <c r="A101" s="26"/>
      <c r="B101" s="26"/>
      <c r="C101" s="26"/>
      <c r="D101" s="27" t="s">
        <v>620</v>
      </c>
      <c r="E101" s="142" t="s">
        <v>619</v>
      </c>
      <c r="F101" s="142"/>
      <c r="G101" s="27" t="s">
        <v>2151</v>
      </c>
      <c r="H101" s="34">
        <f>Gas!D66</f>
        <v>101250</v>
      </c>
      <c r="I101" s="34">
        <f>Gas!E66</f>
        <v>120000</v>
      </c>
      <c r="J101" s="8"/>
    </row>
    <row r="102" spans="1:10" ht="23.1" customHeight="1">
      <c r="A102" s="26"/>
      <c r="B102" s="26"/>
      <c r="C102" s="26"/>
      <c r="D102" s="27" t="s">
        <v>622</v>
      </c>
      <c r="E102" s="142" t="s">
        <v>621</v>
      </c>
      <c r="F102" s="142"/>
      <c r="G102" s="27" t="s">
        <v>2151</v>
      </c>
      <c r="H102" s="34">
        <f>Gas!D72</f>
        <v>135000</v>
      </c>
      <c r="I102" s="34">
        <f>Gas!E72</f>
        <v>140000</v>
      </c>
      <c r="J102" s="8"/>
    </row>
    <row r="103" spans="1:10" ht="23.1" customHeight="1">
      <c r="A103" s="26"/>
      <c r="B103" s="26"/>
      <c r="C103" s="26"/>
      <c r="D103" s="27" t="s">
        <v>624</v>
      </c>
      <c r="E103" s="142" t="s">
        <v>623</v>
      </c>
      <c r="F103" s="142"/>
      <c r="G103" s="27" t="s">
        <v>2151</v>
      </c>
      <c r="H103" s="34">
        <f>Gas!D72</f>
        <v>135000</v>
      </c>
      <c r="I103" s="34">
        <f>Gas!E72</f>
        <v>140000</v>
      </c>
      <c r="J103" s="8"/>
    </row>
    <row r="104" spans="1:10" ht="23.1" customHeight="1">
      <c r="A104" s="26"/>
      <c r="B104" s="26"/>
      <c r="C104" s="26"/>
      <c r="D104" s="27" t="s">
        <v>626</v>
      </c>
      <c r="E104" s="142" t="s">
        <v>625</v>
      </c>
      <c r="F104" s="142"/>
      <c r="G104" s="27" t="s">
        <v>2151</v>
      </c>
      <c r="H104" s="34">
        <f>Gas!D70</f>
        <v>150000</v>
      </c>
      <c r="I104" s="34">
        <f>Gas!E70</f>
        <v>0</v>
      </c>
      <c r="J104" s="8"/>
    </row>
    <row r="105" spans="1:10" ht="23.1" customHeight="1">
      <c r="A105" s="26"/>
      <c r="B105" s="26"/>
      <c r="C105" s="26"/>
      <c r="D105" s="27" t="s">
        <v>628</v>
      </c>
      <c r="E105" s="142" t="s">
        <v>627</v>
      </c>
      <c r="F105" s="142"/>
      <c r="G105" s="27" t="s">
        <v>2151</v>
      </c>
      <c r="H105" s="34">
        <f>Gas!D70</f>
        <v>150000</v>
      </c>
      <c r="I105" s="34">
        <f>Gas!E70</f>
        <v>0</v>
      </c>
      <c r="J105" s="8"/>
    </row>
    <row r="106" spans="1:10" ht="23.1" customHeight="1">
      <c r="A106" s="26"/>
      <c r="B106" s="26"/>
      <c r="C106" s="26"/>
      <c r="D106" s="27" t="s">
        <v>630</v>
      </c>
      <c r="E106" s="142" t="s">
        <v>629</v>
      </c>
      <c r="F106" s="142"/>
      <c r="G106" s="27" t="s">
        <v>2151</v>
      </c>
      <c r="H106" s="34">
        <f>Gas!D73</f>
        <v>303750</v>
      </c>
      <c r="I106" s="34">
        <f>Gas!E73</f>
        <v>292500</v>
      </c>
      <c r="J106" s="8"/>
    </row>
    <row r="107" spans="1:10" ht="27" customHeight="1">
      <c r="A107" s="26"/>
      <c r="B107" s="26"/>
      <c r="C107" s="26"/>
      <c r="D107" s="27" t="s">
        <v>632</v>
      </c>
      <c r="E107" s="142" t="s">
        <v>631</v>
      </c>
      <c r="F107" s="142"/>
      <c r="G107" s="27" t="s">
        <v>2151</v>
      </c>
      <c r="H107" s="34">
        <f>Gas!D46</f>
        <v>270000</v>
      </c>
      <c r="I107" s="34">
        <f>Gas!E46</f>
        <v>165000</v>
      </c>
      <c r="J107" s="8"/>
    </row>
    <row r="108" spans="1:10" ht="23.1" customHeight="1">
      <c r="A108" s="26"/>
      <c r="B108" s="26"/>
      <c r="C108" s="26"/>
      <c r="D108" s="27" t="s">
        <v>634</v>
      </c>
      <c r="E108" s="142" t="s">
        <v>633</v>
      </c>
      <c r="F108" s="142"/>
      <c r="G108" s="27" t="s">
        <v>2151</v>
      </c>
      <c r="H108" s="34" t="e">
        <f>Gas!#REF!</f>
        <v>#REF!</v>
      </c>
      <c r="I108" s="34" t="e">
        <f>Gas!#REF!</f>
        <v>#REF!</v>
      </c>
      <c r="J108" s="8"/>
    </row>
    <row r="109" spans="1:10" ht="23.1" customHeight="1">
      <c r="A109" s="26"/>
      <c r="B109" s="26"/>
      <c r="C109" s="26"/>
      <c r="D109" s="27" t="s">
        <v>636</v>
      </c>
      <c r="E109" s="142" t="s">
        <v>635</v>
      </c>
      <c r="F109" s="142"/>
      <c r="G109" s="27" t="s">
        <v>2151</v>
      </c>
      <c r="H109" s="34">
        <f>Gas!D47</f>
        <v>360000</v>
      </c>
      <c r="I109" s="34">
        <f>Gas!E47</f>
        <v>360000</v>
      </c>
      <c r="J109" s="8"/>
    </row>
    <row r="110" spans="1:10" ht="23.1" customHeight="1">
      <c r="A110" s="26"/>
      <c r="B110" s="26"/>
      <c r="C110" s="26"/>
      <c r="D110" s="27" t="s">
        <v>638</v>
      </c>
      <c r="E110" s="142" t="s">
        <v>637</v>
      </c>
      <c r="F110" s="142"/>
      <c r="G110" s="27" t="s">
        <v>2151</v>
      </c>
      <c r="H110" s="34">
        <f>Gas!D48</f>
        <v>405000</v>
      </c>
      <c r="I110" s="34">
        <f>Gas!E48</f>
        <v>405000</v>
      </c>
      <c r="J110" s="8"/>
    </row>
    <row r="111" spans="1:10" ht="23.1" customHeight="1">
      <c r="A111" s="26"/>
      <c r="B111" s="26"/>
      <c r="C111" s="26"/>
      <c r="D111" s="27" t="s">
        <v>642</v>
      </c>
      <c r="E111" s="142" t="s">
        <v>641</v>
      </c>
      <c r="F111" s="142"/>
      <c r="G111" s="27" t="s">
        <v>2151</v>
      </c>
      <c r="H111" s="34">
        <f>Gas!D117</f>
        <v>400000</v>
      </c>
      <c r="I111" s="34">
        <f>Gas!E117</f>
        <v>400000</v>
      </c>
      <c r="J111" s="8"/>
    </row>
    <row r="112" spans="1:10" ht="23.1" customHeight="1">
      <c r="A112" s="26"/>
      <c r="B112" s="26"/>
      <c r="C112" s="26"/>
      <c r="D112" s="27" t="s">
        <v>644</v>
      </c>
      <c r="E112" s="142" t="s">
        <v>643</v>
      </c>
      <c r="F112" s="142"/>
      <c r="G112" s="27" t="s">
        <v>2151</v>
      </c>
      <c r="H112" s="34">
        <f>Gas!D118</f>
        <v>400000</v>
      </c>
      <c r="I112" s="34">
        <f>Gas!E118</f>
        <v>400000</v>
      </c>
      <c r="J112" s="8"/>
    </row>
    <row r="113" spans="1:10" ht="23.1" customHeight="1">
      <c r="A113" s="26"/>
      <c r="B113" s="26"/>
      <c r="C113" s="26"/>
      <c r="D113" s="27" t="s">
        <v>646</v>
      </c>
      <c r="E113" s="142" t="s">
        <v>645</v>
      </c>
      <c r="F113" s="142"/>
      <c r="G113" s="27" t="s">
        <v>2151</v>
      </c>
      <c r="H113" s="34" t="e">
        <f>Gas!#REF!</f>
        <v>#REF!</v>
      </c>
      <c r="I113" s="34" t="e">
        <f>Gas!#REF!</f>
        <v>#REF!</v>
      </c>
      <c r="J113" s="8"/>
    </row>
    <row r="114" spans="1:10" ht="23.1" customHeight="1">
      <c r="A114" s="26"/>
      <c r="B114" s="26"/>
      <c r="C114" s="26"/>
      <c r="D114" s="27" t="s">
        <v>648</v>
      </c>
      <c r="E114" s="142" t="s">
        <v>647</v>
      </c>
      <c r="F114" s="142"/>
      <c r="G114" s="27" t="s">
        <v>2151</v>
      </c>
      <c r="H114" s="34">
        <f>Gas!D120</f>
        <v>1020000</v>
      </c>
      <c r="I114" s="34">
        <f>Gas!E120</f>
        <v>1020000</v>
      </c>
      <c r="J114" s="8"/>
    </row>
    <row r="115" spans="1:10" ht="23.1" customHeight="1">
      <c r="A115" s="26"/>
      <c r="B115" s="26"/>
      <c r="C115" s="26"/>
      <c r="D115" s="27" t="s">
        <v>650</v>
      </c>
      <c r="E115" s="142" t="s">
        <v>649</v>
      </c>
      <c r="F115" s="142"/>
      <c r="G115" s="27" t="s">
        <v>2151</v>
      </c>
      <c r="H115" s="34">
        <f>Gas!D121</f>
        <v>1360000</v>
      </c>
      <c r="I115" s="34">
        <f>Gas!E121</f>
        <v>1360000</v>
      </c>
      <c r="J115" s="8"/>
    </row>
    <row r="116" spans="1:10" ht="23.1" customHeight="1">
      <c r="A116" s="26"/>
      <c r="B116" s="26"/>
      <c r="C116" s="26"/>
      <c r="D116" s="27" t="s">
        <v>652</v>
      </c>
      <c r="E116" s="142" t="s">
        <v>651</v>
      </c>
      <c r="F116" s="142"/>
      <c r="G116" s="27" t="s">
        <v>2151</v>
      </c>
      <c r="H116" s="34">
        <f>Gas!D122</f>
        <v>2040000</v>
      </c>
      <c r="I116" s="34">
        <f>Gas!E122</f>
        <v>2040000</v>
      </c>
      <c r="J116" s="8"/>
    </row>
    <row r="117" spans="1:10" ht="23.1" customHeight="1">
      <c r="A117" s="26"/>
      <c r="B117" s="26"/>
      <c r="C117" s="26"/>
      <c r="D117" s="27" t="s">
        <v>654</v>
      </c>
      <c r="E117" s="142" t="s">
        <v>653</v>
      </c>
      <c r="F117" s="142"/>
      <c r="G117" s="27" t="s">
        <v>2151</v>
      </c>
      <c r="H117" s="34">
        <f>Gas!D123</f>
        <v>2250000</v>
      </c>
      <c r="I117" s="34">
        <f>Gas!E123</f>
        <v>2250000</v>
      </c>
      <c r="J117" s="8"/>
    </row>
    <row r="118" spans="1:10" ht="23.1" customHeight="1">
      <c r="A118" s="26"/>
      <c r="B118" s="26"/>
      <c r="C118" s="26"/>
      <c r="D118" s="27" t="s">
        <v>656</v>
      </c>
      <c r="E118" s="142" t="s">
        <v>655</v>
      </c>
      <c r="F118" s="142"/>
      <c r="G118" s="27" t="s">
        <v>2151</v>
      </c>
      <c r="H118" s="34">
        <f>Gas!D123</f>
        <v>2250000</v>
      </c>
      <c r="I118" s="34">
        <f>Gas!E123</f>
        <v>2250000</v>
      </c>
      <c r="J118" s="8"/>
    </row>
    <row r="119" spans="1:10" ht="23.1" customHeight="1">
      <c r="A119" s="26"/>
      <c r="B119" s="26"/>
      <c r="C119" s="26"/>
      <c r="D119" s="27" t="s">
        <v>658</v>
      </c>
      <c r="E119" s="142" t="s">
        <v>657</v>
      </c>
      <c r="F119" s="142"/>
      <c r="G119" s="27" t="s">
        <v>2151</v>
      </c>
      <c r="H119" s="34">
        <f>Gas!D124</f>
        <v>3000000</v>
      </c>
      <c r="I119" s="34">
        <f>Gas!E124</f>
        <v>3000000</v>
      </c>
      <c r="J119" s="8"/>
    </row>
    <row r="120" spans="1:10" ht="23.1" customHeight="1">
      <c r="A120" s="26"/>
      <c r="B120" s="26"/>
      <c r="C120" s="26"/>
      <c r="D120" s="27" t="s">
        <v>660</v>
      </c>
      <c r="E120" s="142" t="s">
        <v>659</v>
      </c>
      <c r="F120" s="142"/>
      <c r="G120" s="27" t="s">
        <v>2151</v>
      </c>
      <c r="H120" s="34">
        <f>Gas!D124</f>
        <v>3000000</v>
      </c>
      <c r="I120" s="34">
        <f>Gas!E124</f>
        <v>3000000</v>
      </c>
      <c r="J120" s="8"/>
    </row>
    <row r="121" spans="1:10" ht="23.1" customHeight="1">
      <c r="A121" s="26"/>
      <c r="B121" s="26"/>
      <c r="C121" s="26"/>
      <c r="D121" s="27" t="s">
        <v>662</v>
      </c>
      <c r="E121" s="142" t="s">
        <v>661</v>
      </c>
      <c r="F121" s="142"/>
      <c r="G121" s="27" t="s">
        <v>2151</v>
      </c>
      <c r="H121" s="34">
        <f>Gas!D125</f>
        <v>3750000</v>
      </c>
      <c r="I121" s="34">
        <f>Gas!E125</f>
        <v>3750000</v>
      </c>
      <c r="J121" s="8"/>
    </row>
    <row r="122" spans="1:10" ht="23.1" customHeight="1">
      <c r="A122" s="26"/>
      <c r="B122" s="26"/>
      <c r="C122" s="26"/>
      <c r="D122" s="27" t="s">
        <v>664</v>
      </c>
      <c r="E122" s="142" t="s">
        <v>663</v>
      </c>
      <c r="F122" s="142"/>
      <c r="G122" s="27" t="s">
        <v>2151</v>
      </c>
      <c r="H122" s="34">
        <f>Gas!D125</f>
        <v>3750000</v>
      </c>
      <c r="I122" s="34">
        <f>Gas!E125</f>
        <v>3750000</v>
      </c>
      <c r="J122" s="8"/>
    </row>
    <row r="123" spans="1:10" ht="23.1" customHeight="1">
      <c r="A123" s="26"/>
      <c r="B123" s="26"/>
      <c r="C123" s="26"/>
      <c r="D123" s="27" t="s">
        <v>668</v>
      </c>
      <c r="E123" s="142" t="s">
        <v>667</v>
      </c>
      <c r="F123" s="142"/>
      <c r="G123" s="27" t="s">
        <v>2151</v>
      </c>
      <c r="H123" s="34">
        <f>Gas!D21</f>
        <v>65000</v>
      </c>
      <c r="I123" s="34">
        <f>Gas!E21</f>
        <v>65000</v>
      </c>
      <c r="J123" s="8"/>
    </row>
    <row r="124" spans="1:10" ht="23.1" customHeight="1">
      <c r="A124" s="26"/>
      <c r="B124" s="26"/>
      <c r="C124" s="26"/>
      <c r="D124" s="27" t="s">
        <v>670</v>
      </c>
      <c r="E124" s="142" t="s">
        <v>669</v>
      </c>
      <c r="F124" s="142"/>
      <c r="G124" s="27" t="s">
        <v>2151</v>
      </c>
      <c r="H124" s="34">
        <f>Gas!D24</f>
        <v>65000</v>
      </c>
      <c r="I124" s="34">
        <f>Gas!E24</f>
        <v>75000</v>
      </c>
      <c r="J124" s="8"/>
    </row>
    <row r="125" spans="1:10" ht="23.1" customHeight="1">
      <c r="A125" s="26"/>
      <c r="B125" s="26"/>
      <c r="C125" s="26"/>
      <c r="D125" s="27" t="s">
        <v>672</v>
      </c>
      <c r="E125" s="142" t="s">
        <v>671</v>
      </c>
      <c r="F125" s="142"/>
      <c r="G125" s="27" t="s">
        <v>2151</v>
      </c>
      <c r="H125" s="34">
        <f>Gas!D27</f>
        <v>65000</v>
      </c>
      <c r="I125" s="34">
        <f>Gas!E27</f>
        <v>90000</v>
      </c>
      <c r="J125" s="8"/>
    </row>
    <row r="126" spans="1:10" ht="23.1" customHeight="1">
      <c r="A126" s="26"/>
      <c r="B126" s="26"/>
      <c r="C126" s="26"/>
      <c r="D126" s="27" t="s">
        <v>674</v>
      </c>
      <c r="E126" s="142" t="s">
        <v>673</v>
      </c>
      <c r="F126" s="142"/>
      <c r="G126" s="27" t="s">
        <v>2151</v>
      </c>
      <c r="H126" s="34">
        <f>Gas!D30</f>
        <v>85000</v>
      </c>
      <c r="I126" s="34">
        <f>Gas!E30</f>
        <v>120000</v>
      </c>
      <c r="J126" s="8"/>
    </row>
    <row r="127" spans="1:10" ht="23.1" customHeight="1">
      <c r="A127" s="26"/>
      <c r="B127" s="26"/>
      <c r="C127" s="26"/>
      <c r="D127" s="27" t="s">
        <v>676</v>
      </c>
      <c r="E127" s="142" t="s">
        <v>675</v>
      </c>
      <c r="F127" s="142"/>
      <c r="G127" s="27" t="s">
        <v>2151</v>
      </c>
      <c r="H127" s="34">
        <f>Gas!D33</f>
        <v>105000</v>
      </c>
      <c r="I127" s="34">
        <f>Gas!E33</f>
        <v>140000</v>
      </c>
      <c r="J127" s="8"/>
    </row>
    <row r="128" spans="1:10" ht="23.1" customHeight="1">
      <c r="A128" s="26"/>
      <c r="B128" s="26"/>
      <c r="C128" s="26"/>
      <c r="D128" s="27" t="s">
        <v>678</v>
      </c>
      <c r="E128" s="142" t="s">
        <v>677</v>
      </c>
      <c r="F128" s="142"/>
      <c r="G128" s="27" t="s">
        <v>2151</v>
      </c>
      <c r="H128" s="34">
        <f>Gas!D36</f>
        <v>140000</v>
      </c>
      <c r="I128" s="34">
        <f>Gas!E36</f>
        <v>150000</v>
      </c>
      <c r="J128" s="8"/>
    </row>
    <row r="129" spans="1:10" ht="23.1" customHeight="1">
      <c r="A129" s="26"/>
      <c r="B129" s="26"/>
      <c r="C129" s="26"/>
      <c r="D129" s="27" t="s">
        <v>680</v>
      </c>
      <c r="E129" s="142" t="s">
        <v>679</v>
      </c>
      <c r="F129" s="142"/>
      <c r="G129" s="27" t="s">
        <v>2151</v>
      </c>
      <c r="H129" s="34">
        <f>Gas!D37</f>
        <v>140000</v>
      </c>
      <c r="I129" s="34">
        <f>Gas!E37</f>
        <v>170000</v>
      </c>
      <c r="J129" s="8"/>
    </row>
    <row r="130" spans="1:10" ht="23.1" customHeight="1">
      <c r="A130" s="26"/>
      <c r="B130" s="26"/>
      <c r="C130" s="26"/>
      <c r="D130" s="27" t="s">
        <v>682</v>
      </c>
      <c r="E130" s="142" t="s">
        <v>681</v>
      </c>
      <c r="F130" s="142"/>
      <c r="G130" s="27" t="s">
        <v>2151</v>
      </c>
      <c r="H130" s="34">
        <f>Gas!D38</f>
        <v>165000</v>
      </c>
      <c r="I130" s="34">
        <f>Gas!E38</f>
        <v>195000</v>
      </c>
      <c r="J130" s="8"/>
    </row>
    <row r="131" spans="1:10" ht="23.1" customHeight="1">
      <c r="A131" s="26"/>
      <c r="B131" s="26"/>
      <c r="C131" s="26"/>
      <c r="D131" s="27" t="s">
        <v>684</v>
      </c>
      <c r="E131" s="142" t="s">
        <v>683</v>
      </c>
      <c r="F131" s="142"/>
      <c r="G131" s="27" t="s">
        <v>2151</v>
      </c>
      <c r="H131" s="34">
        <f>Gas!D22</f>
        <v>165000</v>
      </c>
      <c r="I131" s="34">
        <f>Gas!E22</f>
        <v>165000</v>
      </c>
      <c r="J131" s="8"/>
    </row>
    <row r="132" spans="1:10" ht="25.5" customHeight="1">
      <c r="A132" s="26"/>
      <c r="B132" s="26"/>
      <c r="C132" s="26"/>
      <c r="D132" s="27" t="s">
        <v>686</v>
      </c>
      <c r="E132" s="142" t="s">
        <v>685</v>
      </c>
      <c r="F132" s="142"/>
      <c r="G132" s="27" t="s">
        <v>2151</v>
      </c>
      <c r="H132" s="34">
        <f>Gas!D25</f>
        <v>65000</v>
      </c>
      <c r="I132" s="34">
        <f>Gas!E25</f>
        <v>65000</v>
      </c>
      <c r="J132" s="8"/>
    </row>
    <row r="133" spans="1:10" ht="23.1" customHeight="1">
      <c r="A133" s="26"/>
      <c r="B133" s="26"/>
      <c r="C133" s="26"/>
      <c r="D133" s="27" t="s">
        <v>688</v>
      </c>
      <c r="E133" s="142" t="s">
        <v>687</v>
      </c>
      <c r="F133" s="142"/>
      <c r="G133" s="27" t="s">
        <v>2151</v>
      </c>
      <c r="H133" s="34">
        <f>Gas!D28</f>
        <v>165000</v>
      </c>
      <c r="I133" s="34">
        <f>Gas!E28</f>
        <v>150000</v>
      </c>
      <c r="J133" s="8"/>
    </row>
    <row r="134" spans="1:10" ht="23.1" customHeight="1">
      <c r="A134" s="26"/>
      <c r="B134" s="26"/>
      <c r="C134" s="26"/>
      <c r="D134" s="27" t="s">
        <v>690</v>
      </c>
      <c r="E134" s="142" t="s">
        <v>689</v>
      </c>
      <c r="F134" s="142"/>
      <c r="G134" s="27" t="s">
        <v>2151</v>
      </c>
      <c r="H134" s="34">
        <f>Gas!D31</f>
        <v>165000</v>
      </c>
      <c r="I134" s="34">
        <f>Gas!E31</f>
        <v>150000</v>
      </c>
      <c r="J134" s="8"/>
    </row>
    <row r="135" spans="1:10" ht="23.1" customHeight="1">
      <c r="A135" s="26"/>
      <c r="B135" s="26"/>
      <c r="C135" s="26"/>
      <c r="D135" s="27" t="s">
        <v>692</v>
      </c>
      <c r="E135" s="142" t="s">
        <v>691</v>
      </c>
      <c r="F135" s="142"/>
      <c r="G135" s="27" t="s">
        <v>2151</v>
      </c>
      <c r="H135" s="34">
        <f>Gas!D34</f>
        <v>165000</v>
      </c>
      <c r="I135" s="34">
        <f>Gas!E34</f>
        <v>165000</v>
      </c>
      <c r="J135" s="8"/>
    </row>
    <row r="136" spans="1:10" ht="23.1" customHeight="1">
      <c r="A136" s="26"/>
      <c r="B136" s="26"/>
      <c r="C136" s="26"/>
      <c r="D136" s="27" t="s">
        <v>694</v>
      </c>
      <c r="E136" s="142" t="s">
        <v>693</v>
      </c>
      <c r="F136" s="142"/>
      <c r="G136" s="27" t="s">
        <v>2151</v>
      </c>
      <c r="H136" s="34">
        <f>Gas!D39</f>
        <v>245000</v>
      </c>
      <c r="I136" s="34">
        <f>Gas!E39</f>
        <v>245000</v>
      </c>
      <c r="J136" s="8"/>
    </row>
    <row r="137" spans="1:10" ht="23.1" customHeight="1">
      <c r="A137" s="26"/>
      <c r="B137" s="26"/>
      <c r="C137" s="26"/>
      <c r="D137" s="27" t="s">
        <v>696</v>
      </c>
      <c r="E137" s="142" t="s">
        <v>695</v>
      </c>
      <c r="F137" s="142"/>
      <c r="G137" s="27" t="s">
        <v>2151</v>
      </c>
      <c r="H137" s="34">
        <f>Gas!D39</f>
        <v>245000</v>
      </c>
      <c r="I137" s="34">
        <f>Gas!E39</f>
        <v>245000</v>
      </c>
      <c r="J137" s="8"/>
    </row>
    <row r="138" spans="1:10" ht="23.1" customHeight="1">
      <c r="A138" s="26"/>
      <c r="B138" s="26"/>
      <c r="C138" s="26"/>
      <c r="D138" s="27" t="s">
        <v>700</v>
      </c>
      <c r="E138" s="142" t="s">
        <v>699</v>
      </c>
      <c r="F138" s="142"/>
      <c r="G138" s="27" t="s">
        <v>2151</v>
      </c>
      <c r="H138" s="34">
        <f>Gas!D23</f>
        <v>515000</v>
      </c>
      <c r="I138" s="34">
        <f>Gas!E23</f>
        <v>515000</v>
      </c>
      <c r="J138" s="8"/>
    </row>
    <row r="139" spans="1:10" ht="23.1" customHeight="1">
      <c r="A139" s="26"/>
      <c r="B139" s="26"/>
      <c r="C139" s="26"/>
      <c r="D139" s="27" t="s">
        <v>702</v>
      </c>
      <c r="E139" s="142" t="s">
        <v>701</v>
      </c>
      <c r="F139" s="142"/>
      <c r="G139" s="27" t="s">
        <v>2151</v>
      </c>
      <c r="H139" s="34">
        <f>Gas!D26</f>
        <v>515000</v>
      </c>
      <c r="I139" s="34">
        <f>Gas!E26</f>
        <v>500000</v>
      </c>
      <c r="J139" s="8"/>
    </row>
    <row r="140" spans="1:10" ht="23.1" customHeight="1">
      <c r="A140" s="26"/>
      <c r="B140" s="26"/>
      <c r="C140" s="26"/>
      <c r="D140" s="27" t="s">
        <v>704</v>
      </c>
      <c r="E140" s="142" t="s">
        <v>703</v>
      </c>
      <c r="F140" s="142"/>
      <c r="G140" s="27" t="s">
        <v>2151</v>
      </c>
      <c r="H140" s="34">
        <f>Gas!D29</f>
        <v>515000</v>
      </c>
      <c r="I140" s="34">
        <f>Gas!E29</f>
        <v>500000</v>
      </c>
      <c r="J140" s="8"/>
    </row>
    <row r="141" spans="1:10" ht="23.1" customHeight="1">
      <c r="A141" s="26"/>
      <c r="B141" s="26"/>
      <c r="C141" s="26"/>
      <c r="D141" s="27" t="s">
        <v>706</v>
      </c>
      <c r="E141" s="142" t="s">
        <v>705</v>
      </c>
      <c r="F141" s="142"/>
      <c r="G141" s="27" t="s">
        <v>2151</v>
      </c>
      <c r="H141" s="34">
        <f>Gas!D32</f>
        <v>515000</v>
      </c>
      <c r="I141" s="34">
        <f>Gas!E32</f>
        <v>500000</v>
      </c>
      <c r="J141" s="8"/>
    </row>
    <row r="142" spans="1:10" ht="23.1" customHeight="1">
      <c r="A142" s="26"/>
      <c r="B142" s="26"/>
      <c r="C142" s="26"/>
      <c r="D142" s="27" t="s">
        <v>708</v>
      </c>
      <c r="E142" s="142" t="s">
        <v>707</v>
      </c>
      <c r="F142" s="142"/>
      <c r="G142" s="27" t="s">
        <v>2151</v>
      </c>
      <c r="H142" s="34">
        <f>Gas!D35</f>
        <v>515000</v>
      </c>
      <c r="I142" s="34">
        <f>Gas!E35</f>
        <v>500000</v>
      </c>
      <c r="J142" s="8"/>
    </row>
    <row r="143" spans="1:10" ht="23.1" customHeight="1">
      <c r="A143" s="26"/>
      <c r="B143" s="26"/>
      <c r="C143" s="26"/>
      <c r="D143" s="27" t="s">
        <v>710</v>
      </c>
      <c r="E143" s="142" t="s">
        <v>709</v>
      </c>
      <c r="F143" s="142"/>
      <c r="G143" s="27" t="s">
        <v>2151</v>
      </c>
      <c r="H143" s="34">
        <f>Gas!D40</f>
        <v>410000</v>
      </c>
      <c r="I143" s="34">
        <f>Gas!E40</f>
        <v>410000</v>
      </c>
      <c r="J143" s="8"/>
    </row>
    <row r="144" spans="1:10" ht="23.1" customHeight="1">
      <c r="A144" s="26"/>
      <c r="B144" s="26"/>
      <c r="C144" s="26"/>
      <c r="D144" s="27" t="s">
        <v>712</v>
      </c>
      <c r="E144" s="142" t="s">
        <v>711</v>
      </c>
      <c r="F144" s="142"/>
      <c r="G144" s="27" t="s">
        <v>2151</v>
      </c>
      <c r="H144" s="34">
        <f>Gas!D40</f>
        <v>410000</v>
      </c>
      <c r="I144" s="34">
        <f>Gas!E40</f>
        <v>410000</v>
      </c>
      <c r="J144" s="8"/>
    </row>
    <row r="145" spans="1:10" ht="23.1" customHeight="1">
      <c r="A145" s="26"/>
      <c r="B145" s="26"/>
      <c r="C145" s="26"/>
      <c r="D145" s="27" t="s">
        <v>716</v>
      </c>
      <c r="E145" s="142" t="s">
        <v>715</v>
      </c>
      <c r="F145" s="142"/>
      <c r="G145" s="27" t="s">
        <v>2151</v>
      </c>
      <c r="H145" s="34">
        <f>Gas!D148</f>
        <v>66000</v>
      </c>
      <c r="I145" s="34">
        <f>Gas!E148</f>
        <v>66000</v>
      </c>
      <c r="J145" s="8"/>
    </row>
    <row r="146" spans="1:10" ht="23.1" customHeight="1">
      <c r="A146" s="26"/>
      <c r="B146" s="26"/>
      <c r="C146" s="26"/>
      <c r="D146" s="27" t="s">
        <v>718</v>
      </c>
      <c r="E146" s="142" t="s">
        <v>717</v>
      </c>
      <c r="F146" s="142"/>
      <c r="G146" s="27" t="s">
        <v>2151</v>
      </c>
      <c r="H146" s="34">
        <f>Gas!D147</f>
        <v>66000</v>
      </c>
      <c r="I146" s="34">
        <f>Gas!E147</f>
        <v>66000</v>
      </c>
      <c r="J146" s="8"/>
    </row>
    <row r="147" spans="1:10" ht="23.1" customHeight="1">
      <c r="A147" s="26"/>
      <c r="B147" s="26"/>
      <c r="C147" s="26"/>
      <c r="D147" s="27" t="s">
        <v>720</v>
      </c>
      <c r="E147" s="142" t="s">
        <v>719</v>
      </c>
      <c r="F147" s="142"/>
      <c r="G147" s="27" t="s">
        <v>2151</v>
      </c>
      <c r="H147" s="34">
        <f>Gas!D147</f>
        <v>66000</v>
      </c>
      <c r="I147" s="34">
        <f>Gas!E147</f>
        <v>66000</v>
      </c>
      <c r="J147" s="8"/>
    </row>
    <row r="148" spans="1:10" ht="23.1" customHeight="1">
      <c r="A148" s="26"/>
      <c r="B148" s="26"/>
      <c r="C148" s="26"/>
      <c r="D148" s="27" t="s">
        <v>726</v>
      </c>
      <c r="E148" s="142" t="s">
        <v>725</v>
      </c>
      <c r="F148" s="142"/>
      <c r="G148" s="27" t="s">
        <v>2151</v>
      </c>
      <c r="H148" s="34">
        <f>Gas!D6</f>
        <v>225000</v>
      </c>
      <c r="I148" s="34">
        <f>Gas!E6</f>
        <v>370000</v>
      </c>
      <c r="J148" s="8"/>
    </row>
    <row r="149" spans="1:10" ht="23.1" customHeight="1">
      <c r="A149" s="26"/>
      <c r="B149" s="26"/>
      <c r="C149" s="26"/>
      <c r="D149" s="27" t="s">
        <v>728</v>
      </c>
      <c r="E149" s="142" t="s">
        <v>727</v>
      </c>
      <c r="F149" s="142"/>
      <c r="G149" s="27" t="s">
        <v>2151</v>
      </c>
      <c r="H149" s="34">
        <v>0</v>
      </c>
      <c r="I149" s="34">
        <v>0</v>
      </c>
      <c r="J149" s="8"/>
    </row>
    <row r="150" spans="1:10" ht="23.1" customHeight="1">
      <c r="A150" s="26"/>
      <c r="B150" s="26"/>
      <c r="C150" s="26"/>
      <c r="D150" s="27" t="s">
        <v>730</v>
      </c>
      <c r="E150" s="142" t="s">
        <v>729</v>
      </c>
      <c r="F150" s="142"/>
      <c r="G150" s="27" t="s">
        <v>2151</v>
      </c>
      <c r="H150" s="34">
        <f>Gas!D11</f>
        <v>550000</v>
      </c>
      <c r="I150" s="34">
        <f>Gas!E11</f>
        <v>550000</v>
      </c>
      <c r="J150" s="8"/>
    </row>
    <row r="151" spans="1:10" ht="23.1" customHeight="1">
      <c r="A151" s="26"/>
      <c r="B151" s="26"/>
      <c r="C151" s="26"/>
      <c r="D151" s="27" t="s">
        <v>732</v>
      </c>
      <c r="E151" s="142" t="s">
        <v>731</v>
      </c>
      <c r="F151" s="142"/>
      <c r="G151" s="27" t="s">
        <v>2151</v>
      </c>
      <c r="H151" s="34">
        <f>Gas!D12</f>
        <v>775000</v>
      </c>
      <c r="I151" s="34">
        <f>Gas!E12</f>
        <v>775000</v>
      </c>
      <c r="J151" s="8"/>
    </row>
    <row r="152" spans="1:10" ht="23.1" customHeight="1">
      <c r="A152" s="26"/>
      <c r="B152" s="26"/>
      <c r="C152" s="26"/>
      <c r="D152" s="27" t="s">
        <v>734</v>
      </c>
      <c r="E152" s="142" t="s">
        <v>733</v>
      </c>
      <c r="F152" s="142"/>
      <c r="G152" s="27" t="s">
        <v>2151</v>
      </c>
      <c r="H152" s="34">
        <f>Gas!D13</f>
        <v>1000000</v>
      </c>
      <c r="I152" s="34">
        <f>Gas!E13</f>
        <v>1000000</v>
      </c>
      <c r="J152" s="8"/>
    </row>
    <row r="153" spans="1:10" ht="24.75" customHeight="1">
      <c r="A153" s="26"/>
      <c r="B153" s="26"/>
      <c r="C153" s="26"/>
      <c r="D153" s="27" t="s">
        <v>736</v>
      </c>
      <c r="E153" s="142" t="s">
        <v>735</v>
      </c>
      <c r="F153" s="142"/>
      <c r="G153" s="27" t="s">
        <v>2151</v>
      </c>
      <c r="H153" s="34">
        <f>Gas!D14</f>
        <v>600000</v>
      </c>
      <c r="I153" s="34">
        <f>Gas!E14</f>
        <v>600000</v>
      </c>
      <c r="J153" s="8"/>
    </row>
    <row r="154" spans="1:10" ht="24.75" customHeight="1">
      <c r="A154" s="26"/>
      <c r="B154" s="26"/>
      <c r="C154" s="26"/>
      <c r="D154" s="27" t="s">
        <v>738</v>
      </c>
      <c r="E154" s="142" t="s">
        <v>737</v>
      </c>
      <c r="F154" s="142"/>
      <c r="G154" s="27" t="s">
        <v>2151</v>
      </c>
      <c r="H154" s="34">
        <f>Gas!D15</f>
        <v>850000</v>
      </c>
      <c r="I154" s="34">
        <f>Gas!E15</f>
        <v>850000</v>
      </c>
      <c r="J154" s="8"/>
    </row>
    <row r="155" spans="1:10" ht="23.1" customHeight="1">
      <c r="A155" s="26"/>
      <c r="B155" s="26"/>
      <c r="C155" s="26"/>
      <c r="D155" s="27" t="s">
        <v>740</v>
      </c>
      <c r="E155" s="142" t="s">
        <v>739</v>
      </c>
      <c r="F155" s="142"/>
      <c r="G155" s="27" t="s">
        <v>2151</v>
      </c>
      <c r="H155" s="34">
        <f>Gas!D17</f>
        <v>1600000</v>
      </c>
      <c r="I155" s="34">
        <f>Gas!E17</f>
        <v>1600000</v>
      </c>
      <c r="J155" s="8"/>
    </row>
    <row r="156" spans="1:10" ht="23.1" customHeight="1">
      <c r="A156" s="26"/>
      <c r="B156" s="26"/>
      <c r="C156" s="26"/>
      <c r="D156" s="27" t="s">
        <v>742</v>
      </c>
      <c r="E156" s="142" t="s">
        <v>741</v>
      </c>
      <c r="F156" s="142"/>
      <c r="G156" s="27" t="s">
        <v>2151</v>
      </c>
      <c r="H156" s="34">
        <f>Gas!D18</f>
        <v>385000</v>
      </c>
      <c r="I156" s="34">
        <f>Gas!E18</f>
        <v>520000</v>
      </c>
      <c r="J156" s="8"/>
    </row>
    <row r="157" spans="1:10" ht="23.1" customHeight="1">
      <c r="A157" s="26"/>
      <c r="B157" s="26"/>
      <c r="C157" s="26"/>
      <c r="D157" s="27" t="s">
        <v>744</v>
      </c>
      <c r="E157" s="142" t="s">
        <v>743</v>
      </c>
      <c r="F157" s="142"/>
      <c r="G157" s="27" t="s">
        <v>2151</v>
      </c>
      <c r="H157" s="34">
        <f>Gas!D19</f>
        <v>425000</v>
      </c>
      <c r="I157" s="34">
        <f>Gas!E19</f>
        <v>557500</v>
      </c>
      <c r="J157" s="8"/>
    </row>
    <row r="158" spans="1:10" ht="23.1" customHeight="1">
      <c r="A158" s="26"/>
      <c r="B158" s="26"/>
      <c r="C158" s="26"/>
      <c r="D158" s="27" t="s">
        <v>750</v>
      </c>
      <c r="E158" s="142" t="s">
        <v>749</v>
      </c>
      <c r="F158" s="142"/>
      <c r="G158" s="27" t="s">
        <v>2151</v>
      </c>
      <c r="H158" s="34">
        <f>Gas!D5*4</f>
        <v>160000</v>
      </c>
      <c r="I158" s="34">
        <f>Gas!E5*4</f>
        <v>150000</v>
      </c>
      <c r="J158" s="8"/>
    </row>
    <row r="159" spans="1:10" ht="23.1" customHeight="1">
      <c r="A159" s="26"/>
      <c r="B159" s="26"/>
      <c r="C159" s="26"/>
      <c r="D159" s="27" t="s">
        <v>752</v>
      </c>
      <c r="E159" s="142" t="s">
        <v>751</v>
      </c>
      <c r="F159" s="142"/>
      <c r="G159" s="27" t="s">
        <v>2151</v>
      </c>
      <c r="H159" s="34">
        <f>Gas!D5*6</f>
        <v>240000</v>
      </c>
      <c r="I159" s="34">
        <f>Gas!E5*6</f>
        <v>225000</v>
      </c>
      <c r="J159" s="8"/>
    </row>
    <row r="160" spans="1:10" ht="23.1" customHeight="1">
      <c r="A160" s="26"/>
      <c r="B160" s="26"/>
      <c r="C160" s="26"/>
      <c r="D160" s="27" t="s">
        <v>754</v>
      </c>
      <c r="E160" s="142" t="s">
        <v>753</v>
      </c>
      <c r="F160" s="142"/>
      <c r="G160" s="27" t="s">
        <v>2151</v>
      </c>
      <c r="H160" s="34">
        <f>Gas!D85</f>
        <v>99000</v>
      </c>
      <c r="I160" s="34">
        <f>Gas!E85</f>
        <v>125000</v>
      </c>
      <c r="J160" s="8"/>
    </row>
    <row r="161" spans="1:10" ht="23.1" customHeight="1">
      <c r="A161" s="26"/>
      <c r="B161" s="26"/>
      <c r="C161" s="26"/>
      <c r="D161" s="27" t="s">
        <v>756</v>
      </c>
      <c r="E161" s="142" t="s">
        <v>755</v>
      </c>
      <c r="F161" s="142"/>
      <c r="G161" s="27" t="s">
        <v>2151</v>
      </c>
      <c r="H161" s="34">
        <f>Gas!D85</f>
        <v>99000</v>
      </c>
      <c r="I161" s="34">
        <f>Gas!E85</f>
        <v>125000</v>
      </c>
      <c r="J161" s="8"/>
    </row>
    <row r="162" spans="1:10" ht="23.1" customHeight="1">
      <c r="A162" s="26"/>
      <c r="B162" s="26"/>
      <c r="C162" s="26"/>
      <c r="D162" s="27" t="s">
        <v>758</v>
      </c>
      <c r="E162" s="142" t="s">
        <v>757</v>
      </c>
      <c r="F162" s="142"/>
      <c r="G162" s="27" t="s">
        <v>2151</v>
      </c>
      <c r="H162" s="34">
        <f>Gas!D89</f>
        <v>99000</v>
      </c>
      <c r="I162" s="34">
        <f>Gas!E89</f>
        <v>125000</v>
      </c>
      <c r="J162" s="8"/>
    </row>
    <row r="163" spans="1:10" ht="23.1" customHeight="1">
      <c r="A163" s="26"/>
      <c r="B163" s="26"/>
      <c r="C163" s="26"/>
      <c r="D163" s="27" t="s">
        <v>760</v>
      </c>
      <c r="E163" s="142" t="s">
        <v>759</v>
      </c>
      <c r="F163" s="142"/>
      <c r="G163" s="27" t="s">
        <v>2151</v>
      </c>
      <c r="H163" s="34">
        <f>Gas!D97</f>
        <v>125000</v>
      </c>
      <c r="I163" s="34">
        <f>Gas!E97</f>
        <v>150000</v>
      </c>
      <c r="J163" s="8"/>
    </row>
    <row r="164" spans="1:10" ht="23.1" customHeight="1">
      <c r="A164" s="26"/>
      <c r="B164" s="26"/>
      <c r="C164" s="26"/>
      <c r="D164" s="27" t="s">
        <v>762</v>
      </c>
      <c r="E164" s="142" t="s">
        <v>761</v>
      </c>
      <c r="F164" s="142"/>
      <c r="G164" s="27" t="s">
        <v>2151</v>
      </c>
      <c r="H164" s="34">
        <f>Gas!D100</f>
        <v>175000</v>
      </c>
      <c r="I164" s="34">
        <f>Gas!E100</f>
        <v>220000</v>
      </c>
      <c r="J164" s="8"/>
    </row>
    <row r="165" spans="1:10" ht="23.1" customHeight="1">
      <c r="A165" s="26"/>
      <c r="B165" s="26"/>
      <c r="C165" s="26"/>
      <c r="D165" s="27" t="s">
        <v>764</v>
      </c>
      <c r="E165" s="142" t="s">
        <v>763</v>
      </c>
      <c r="F165" s="142"/>
      <c r="G165" s="27" t="s">
        <v>2151</v>
      </c>
      <c r="H165" s="34">
        <f>Gas!D103</f>
        <v>200000</v>
      </c>
      <c r="I165" s="34">
        <f>Gas!E103</f>
        <v>225000</v>
      </c>
      <c r="J165" s="8"/>
    </row>
    <row r="166" spans="1:10" ht="23.1" customHeight="1">
      <c r="A166" s="26"/>
      <c r="B166" s="26"/>
      <c r="C166" s="26"/>
      <c r="D166" s="27" t="s">
        <v>776</v>
      </c>
      <c r="E166" s="142" t="s">
        <v>775</v>
      </c>
      <c r="F166" s="142"/>
      <c r="G166" s="27" t="s">
        <v>2151</v>
      </c>
      <c r="H166" s="34">
        <f>Gas!D101</f>
        <v>475000</v>
      </c>
      <c r="I166" s="34">
        <f>Gas!E101</f>
        <v>360000</v>
      </c>
      <c r="J166" s="8"/>
    </row>
    <row r="167" spans="1:10" ht="23.1" customHeight="1">
      <c r="A167" s="26"/>
      <c r="B167" s="26"/>
      <c r="C167" s="26"/>
      <c r="D167" s="27" t="s">
        <v>778</v>
      </c>
      <c r="E167" s="142" t="s">
        <v>777</v>
      </c>
      <c r="F167" s="142"/>
      <c r="G167" s="27" t="s">
        <v>2151</v>
      </c>
      <c r="H167" s="34">
        <f>Gas!D104</f>
        <v>375000</v>
      </c>
      <c r="I167" s="34">
        <f>Gas!E104</f>
        <v>375000</v>
      </c>
      <c r="J167" s="8"/>
    </row>
    <row r="168" spans="1:10" ht="23.1" customHeight="1">
      <c r="A168" s="26"/>
      <c r="B168" s="26"/>
      <c r="C168" s="26"/>
      <c r="D168" s="27" t="s">
        <v>780</v>
      </c>
      <c r="E168" s="142" t="s">
        <v>779</v>
      </c>
      <c r="F168" s="142"/>
      <c r="G168" s="27" t="s">
        <v>2151</v>
      </c>
      <c r="H168" s="34">
        <f>Gas!D86</f>
        <v>500000</v>
      </c>
      <c r="I168" s="34">
        <f>Gas!E86</f>
        <v>500000</v>
      </c>
      <c r="J168" s="8"/>
    </row>
    <row r="169" spans="1:10" ht="23.1" customHeight="1">
      <c r="A169" s="26"/>
      <c r="B169" s="26"/>
      <c r="C169" s="26"/>
      <c r="D169" s="27" t="s">
        <v>782</v>
      </c>
      <c r="E169" s="142" t="s">
        <v>781</v>
      </c>
      <c r="F169" s="142"/>
      <c r="G169" s="27" t="s">
        <v>2151</v>
      </c>
      <c r="H169" s="34">
        <f>Gas!D88</f>
        <v>500000</v>
      </c>
      <c r="I169" s="34">
        <f>Gas!E88</f>
        <v>500000</v>
      </c>
      <c r="J169" s="8"/>
    </row>
    <row r="170" spans="1:10" ht="23.1" customHeight="1">
      <c r="A170" s="26"/>
      <c r="B170" s="26"/>
      <c r="C170" s="26"/>
      <c r="D170" s="27" t="s">
        <v>784</v>
      </c>
      <c r="E170" s="142" t="s">
        <v>783</v>
      </c>
      <c r="F170" s="142"/>
      <c r="G170" s="27" t="s">
        <v>2151</v>
      </c>
      <c r="H170" s="34">
        <f>Gas!D96</f>
        <v>500000</v>
      </c>
      <c r="I170" s="34">
        <f>Gas!E96</f>
        <v>500000</v>
      </c>
      <c r="J170" s="8"/>
    </row>
    <row r="171" spans="1:10" ht="23.1" customHeight="1">
      <c r="A171" s="26"/>
      <c r="B171" s="26"/>
      <c r="C171" s="26"/>
      <c r="D171" s="27" t="s">
        <v>786</v>
      </c>
      <c r="E171" s="142" t="s">
        <v>785</v>
      </c>
      <c r="F171" s="142"/>
      <c r="G171" s="27" t="s">
        <v>2151</v>
      </c>
      <c r="H171" s="34">
        <f>Gas!D99</f>
        <v>500000</v>
      </c>
      <c r="I171" s="34">
        <f>Gas!E99</f>
        <v>500000</v>
      </c>
      <c r="J171" s="8"/>
    </row>
    <row r="172" spans="1:10" ht="23.1" customHeight="1">
      <c r="A172" s="26"/>
      <c r="B172" s="26"/>
      <c r="C172" s="26"/>
      <c r="D172" s="27" t="s">
        <v>788</v>
      </c>
      <c r="E172" s="142" t="s">
        <v>787</v>
      </c>
      <c r="F172" s="142"/>
      <c r="G172" s="27" t="s">
        <v>2151</v>
      </c>
      <c r="H172" s="34">
        <f>Gas!D102</f>
        <v>650000</v>
      </c>
      <c r="I172" s="34">
        <f>Gas!E102</f>
        <v>650000</v>
      </c>
      <c r="J172" s="8"/>
    </row>
    <row r="173" spans="1:10" ht="24" customHeight="1">
      <c r="A173" s="26"/>
      <c r="B173" s="26"/>
      <c r="C173" s="26"/>
      <c r="D173" s="27" t="s">
        <v>792</v>
      </c>
      <c r="E173" s="142" t="s">
        <v>791</v>
      </c>
      <c r="F173" s="142"/>
      <c r="G173" s="27" t="s">
        <v>2151</v>
      </c>
      <c r="H173" s="34">
        <f>Gas!D116</f>
        <v>600000</v>
      </c>
      <c r="I173" s="34">
        <f>Gas!E116</f>
        <v>850000</v>
      </c>
      <c r="J173" s="8"/>
    </row>
    <row r="174" spans="1:10" ht="23.1" customHeight="1">
      <c r="A174" s="26"/>
      <c r="B174" s="26"/>
      <c r="C174" s="26"/>
      <c r="D174" s="27" t="s">
        <v>1094</v>
      </c>
      <c r="E174" s="142" t="s">
        <v>1093</v>
      </c>
      <c r="F174" s="142"/>
      <c r="G174" s="27" t="s">
        <v>2151</v>
      </c>
      <c r="H174" s="34">
        <f>Gas!D106</f>
        <v>30000</v>
      </c>
      <c r="I174" s="34">
        <f>Gas!E106</f>
        <v>30000</v>
      </c>
      <c r="J174" s="8"/>
    </row>
    <row r="175" spans="1:10" ht="23.1" customHeight="1">
      <c r="A175" s="26"/>
      <c r="B175" s="26"/>
      <c r="C175" s="26"/>
      <c r="D175" s="27" t="s">
        <v>1096</v>
      </c>
      <c r="E175" s="142" t="s">
        <v>1095</v>
      </c>
      <c r="F175" s="142"/>
      <c r="G175" s="27" t="s">
        <v>2151</v>
      </c>
      <c r="H175" s="34">
        <f>Gas!D106</f>
        <v>30000</v>
      </c>
      <c r="I175" s="34">
        <f>Gas!E106</f>
        <v>30000</v>
      </c>
      <c r="J175" s="8"/>
    </row>
    <row r="176" spans="1:10" ht="23.1" customHeight="1">
      <c r="A176" s="26"/>
      <c r="B176" s="26"/>
      <c r="C176" s="26"/>
      <c r="D176" s="27" t="s">
        <v>1098</v>
      </c>
      <c r="E176" s="142" t="s">
        <v>1097</v>
      </c>
      <c r="F176" s="142"/>
      <c r="G176" s="27" t="s">
        <v>2151</v>
      </c>
      <c r="H176" s="34">
        <f>Gas!D106</f>
        <v>30000</v>
      </c>
      <c r="I176" s="34">
        <f>Gas!E106</f>
        <v>30000</v>
      </c>
      <c r="J176" s="8"/>
    </row>
    <row r="177" spans="1:10" ht="23.1" customHeight="1">
      <c r="A177" s="26"/>
      <c r="B177" s="26"/>
      <c r="C177" s="26"/>
      <c r="D177" s="27" t="s">
        <v>1102</v>
      </c>
      <c r="E177" s="142" t="s">
        <v>1101</v>
      </c>
      <c r="F177" s="142"/>
      <c r="G177" s="27" t="s">
        <v>2151</v>
      </c>
      <c r="H177" s="34">
        <f>Gas!D106</f>
        <v>30000</v>
      </c>
      <c r="I177" s="34">
        <f>Gas!E106</f>
        <v>30000</v>
      </c>
      <c r="J177" s="8"/>
    </row>
    <row r="178" spans="1:10" ht="23.1" customHeight="1">
      <c r="A178" s="26"/>
      <c r="B178" s="26"/>
      <c r="C178" s="26"/>
      <c r="D178" s="27" t="s">
        <v>1104</v>
      </c>
      <c r="E178" s="142" t="s">
        <v>1103</v>
      </c>
      <c r="F178" s="142"/>
      <c r="G178" s="27" t="s">
        <v>2151</v>
      </c>
      <c r="H178" s="34">
        <f>Gas!D106</f>
        <v>30000</v>
      </c>
      <c r="I178" s="34">
        <f>Gas!E106</f>
        <v>30000</v>
      </c>
      <c r="J178" s="8"/>
    </row>
    <row r="179" spans="1:10" ht="23.1" customHeight="1">
      <c r="A179" s="26"/>
      <c r="B179" s="26"/>
      <c r="C179" s="26"/>
      <c r="D179" s="27" t="s">
        <v>1106</v>
      </c>
      <c r="E179" s="142" t="s">
        <v>1105</v>
      </c>
      <c r="F179" s="142"/>
      <c r="G179" s="27" t="s">
        <v>2151</v>
      </c>
      <c r="H179" s="34">
        <f>Gas!D111</f>
        <v>35000</v>
      </c>
      <c r="I179" s="34">
        <f>Gas!E111</f>
        <v>40000</v>
      </c>
      <c r="J179" s="8"/>
    </row>
    <row r="180" spans="1:10" ht="23.1" customHeight="1">
      <c r="A180" s="26"/>
      <c r="B180" s="26"/>
      <c r="C180" s="26"/>
      <c r="D180" s="27" t="s">
        <v>1108</v>
      </c>
      <c r="E180" s="142" t="s">
        <v>1107</v>
      </c>
      <c r="F180" s="142"/>
      <c r="G180" s="27" t="s">
        <v>2151</v>
      </c>
      <c r="H180" s="34">
        <f>Gas!D112</f>
        <v>40000</v>
      </c>
      <c r="I180" s="34">
        <f>Gas!E112</f>
        <v>40000</v>
      </c>
      <c r="J180" s="8"/>
    </row>
    <row r="181" spans="1:10" ht="23.1" customHeight="1">
      <c r="A181" s="26"/>
      <c r="B181" s="26"/>
      <c r="C181" s="26"/>
      <c r="D181" s="27" t="s">
        <v>1112</v>
      </c>
      <c r="E181" s="142" t="s">
        <v>1111</v>
      </c>
      <c r="F181" s="142"/>
      <c r="G181" s="27" t="s">
        <v>2151</v>
      </c>
      <c r="H181" s="34">
        <f>Gas!D110</f>
        <v>375000</v>
      </c>
      <c r="I181" s="34">
        <f>Gas!E110</f>
        <v>375000</v>
      </c>
      <c r="J181" s="8"/>
    </row>
    <row r="182" spans="1:10" ht="23.1" customHeight="1">
      <c r="A182" s="26"/>
      <c r="B182" s="26"/>
      <c r="C182" s="26"/>
      <c r="D182" s="27" t="s">
        <v>1114</v>
      </c>
      <c r="E182" s="142" t="s">
        <v>1113</v>
      </c>
      <c r="F182" s="142"/>
      <c r="G182" s="27" t="s">
        <v>2151</v>
      </c>
      <c r="H182" s="34">
        <f>Gas!D128</f>
        <v>17000</v>
      </c>
      <c r="I182" s="34">
        <f>Gas!E128</f>
        <v>17000</v>
      </c>
      <c r="J182" s="8"/>
    </row>
    <row r="183" spans="1:10" ht="23.1" customHeight="1">
      <c r="A183" s="26"/>
      <c r="B183" s="26"/>
      <c r="C183" s="26"/>
      <c r="D183" s="27" t="s">
        <v>1116</v>
      </c>
      <c r="E183" s="142" t="s">
        <v>1115</v>
      </c>
      <c r="F183" s="142"/>
      <c r="G183" s="27" t="s">
        <v>2151</v>
      </c>
      <c r="H183" s="34">
        <f>Gas!D129</f>
        <v>17000</v>
      </c>
      <c r="I183" s="34">
        <f>Gas!E129</f>
        <v>17000</v>
      </c>
      <c r="J183" s="8"/>
    </row>
    <row r="184" spans="1:10" ht="23.1" customHeight="1">
      <c r="A184" s="26"/>
      <c r="B184" s="26"/>
      <c r="C184" s="26"/>
      <c r="D184" s="27" t="s">
        <v>1118</v>
      </c>
      <c r="E184" s="142" t="s">
        <v>1117</v>
      </c>
      <c r="F184" s="142"/>
      <c r="G184" s="27" t="s">
        <v>2151</v>
      </c>
      <c r="H184" s="34">
        <f>Gas!D130</f>
        <v>22500</v>
      </c>
      <c r="I184" s="34">
        <f>Gas!E130</f>
        <v>22500</v>
      </c>
      <c r="J184" s="8"/>
    </row>
    <row r="185" spans="1:10" ht="23.1" customHeight="1">
      <c r="A185" s="26"/>
      <c r="B185" s="26"/>
      <c r="C185" s="26"/>
      <c r="D185" s="27" t="s">
        <v>1120</v>
      </c>
      <c r="E185" s="142" t="s">
        <v>1119</v>
      </c>
      <c r="F185" s="142"/>
      <c r="G185" s="27" t="s">
        <v>2151</v>
      </c>
      <c r="H185" s="34">
        <f>Gas!D131</f>
        <v>22500</v>
      </c>
      <c r="I185" s="34">
        <f>Gas!E131</f>
        <v>22500</v>
      </c>
      <c r="J185" s="8"/>
    </row>
    <row r="186" spans="1:10" ht="23.1" customHeight="1">
      <c r="A186" s="26"/>
      <c r="B186" s="26"/>
      <c r="C186" s="26"/>
      <c r="D186" s="27" t="s">
        <v>1122</v>
      </c>
      <c r="E186" s="142" t="s">
        <v>1121</v>
      </c>
      <c r="F186" s="142"/>
      <c r="G186" s="27" t="s">
        <v>2151</v>
      </c>
      <c r="H186" s="34">
        <f>Gas!D132</f>
        <v>28000</v>
      </c>
      <c r="I186" s="34">
        <f>Gas!E132</f>
        <v>28000</v>
      </c>
      <c r="J186" s="8"/>
    </row>
    <row r="187" spans="1:10" ht="23.1" customHeight="1">
      <c r="A187" s="26"/>
      <c r="B187" s="26"/>
      <c r="C187" s="26"/>
      <c r="D187" s="27" t="s">
        <v>1124</v>
      </c>
      <c r="E187" s="142" t="s">
        <v>1123</v>
      </c>
      <c r="F187" s="142"/>
      <c r="G187" s="27" t="s">
        <v>2151</v>
      </c>
      <c r="H187" s="34">
        <f>Gas!D133</f>
        <v>27500</v>
      </c>
      <c r="I187" s="34">
        <f>Gas!E133</f>
        <v>33000</v>
      </c>
      <c r="J187" s="8"/>
    </row>
    <row r="188" spans="1:10" ht="23.1" customHeight="1">
      <c r="A188" s="26"/>
      <c r="B188" s="26"/>
      <c r="C188" s="26"/>
      <c r="D188" s="27" t="s">
        <v>1132</v>
      </c>
      <c r="E188" s="142" t="s">
        <v>1131</v>
      </c>
      <c r="F188" s="142"/>
      <c r="G188" s="27" t="s">
        <v>2151</v>
      </c>
      <c r="H188" s="34">
        <f>Gas!D137</f>
        <v>32500</v>
      </c>
      <c r="I188" s="34">
        <f>Gas!E137</f>
        <v>33000</v>
      </c>
      <c r="J188" s="8"/>
    </row>
    <row r="189" spans="1:10" ht="23.1" customHeight="1">
      <c r="A189" s="26"/>
      <c r="B189" s="26"/>
      <c r="C189" s="26"/>
      <c r="D189" s="27" t="s">
        <v>1134</v>
      </c>
      <c r="E189" s="142" t="s">
        <v>1133</v>
      </c>
      <c r="F189" s="142"/>
      <c r="G189" s="27" t="s">
        <v>2151</v>
      </c>
      <c r="H189" s="34">
        <f>Gas!D136</f>
        <v>7770000</v>
      </c>
      <c r="I189" s="34">
        <f>Gas!E136</f>
        <v>0</v>
      </c>
      <c r="J189" s="8"/>
    </row>
    <row r="190" spans="1:10" ht="23.1" customHeight="1">
      <c r="A190" s="26"/>
      <c r="B190" s="26"/>
      <c r="C190" s="26"/>
      <c r="D190" s="27" t="s">
        <v>2353</v>
      </c>
      <c r="E190" s="142" t="s">
        <v>2352</v>
      </c>
      <c r="F190" s="142"/>
      <c r="G190" s="27" t="s">
        <v>2151</v>
      </c>
      <c r="H190" s="34">
        <v>0</v>
      </c>
      <c r="I190" s="34">
        <v>0</v>
      </c>
      <c r="J190" s="8"/>
    </row>
    <row r="191" spans="1:10" ht="25.5" customHeight="1">
      <c r="A191" s="26"/>
      <c r="B191" s="26"/>
      <c r="C191" s="26"/>
      <c r="D191" s="27" t="s">
        <v>2351</v>
      </c>
      <c r="E191" s="142" t="s">
        <v>2350</v>
      </c>
      <c r="F191" s="142"/>
      <c r="G191" s="27" t="s">
        <v>2151</v>
      </c>
      <c r="H191" s="34">
        <f>Gas!D5*3</f>
        <v>120000</v>
      </c>
      <c r="I191" s="34">
        <f>Gas!E5*3</f>
        <v>112500</v>
      </c>
      <c r="J191" s="8"/>
    </row>
    <row r="192" spans="1:10" ht="23.1" customHeight="1">
      <c r="A192" s="26"/>
      <c r="B192" s="26"/>
      <c r="C192" s="26"/>
      <c r="D192" s="27" t="s">
        <v>2099</v>
      </c>
      <c r="E192" s="142" t="s">
        <v>2349</v>
      </c>
      <c r="F192" s="142"/>
      <c r="G192" s="27" t="s">
        <v>2151</v>
      </c>
      <c r="H192" s="34">
        <f>Gas!D37</f>
        <v>140000</v>
      </c>
      <c r="I192" s="34">
        <f>Gas!E37</f>
        <v>170000</v>
      </c>
      <c r="J192" s="8"/>
    </row>
    <row r="193" spans="1:10" ht="23.1" customHeight="1">
      <c r="A193" s="26"/>
      <c r="B193" s="26"/>
      <c r="C193" s="26"/>
      <c r="D193" s="27" t="s">
        <v>2101</v>
      </c>
      <c r="E193" s="142" t="s">
        <v>2348</v>
      </c>
      <c r="F193" s="142"/>
      <c r="G193" s="27" t="s">
        <v>2151</v>
      </c>
      <c r="H193" s="34">
        <f>Gas!D38</f>
        <v>165000</v>
      </c>
      <c r="I193" s="34">
        <f>Gas!E38</f>
        <v>195000</v>
      </c>
      <c r="J193" s="8"/>
    </row>
    <row r="194" spans="1:10" ht="23.1" customHeight="1">
      <c r="A194" s="26"/>
      <c r="B194" s="26"/>
      <c r="C194" s="26"/>
      <c r="D194" s="27" t="s">
        <v>2111</v>
      </c>
      <c r="E194" s="142" t="s">
        <v>2347</v>
      </c>
      <c r="F194" s="142"/>
      <c r="G194" s="27" t="s">
        <v>2151</v>
      </c>
      <c r="H194" s="36">
        <f>Gas!D69</f>
        <v>168750</v>
      </c>
      <c r="I194" s="36">
        <f>Gas!E69</f>
        <v>162500</v>
      </c>
      <c r="J194" s="8"/>
    </row>
    <row r="195" spans="1:10" ht="23.1" customHeight="1">
      <c r="A195" s="26"/>
      <c r="B195" s="26"/>
      <c r="C195" s="26"/>
      <c r="D195" s="27" t="s">
        <v>2134</v>
      </c>
      <c r="E195" s="142" t="s">
        <v>2133</v>
      </c>
      <c r="F195" s="142"/>
      <c r="G195" s="27" t="s">
        <v>2151</v>
      </c>
      <c r="H195" s="34">
        <f>Gas!D6+Gas!D5*3</f>
        <v>345000</v>
      </c>
      <c r="I195" s="34">
        <f>Gas!E6+Gas!E5*3</f>
        <v>482500</v>
      </c>
      <c r="J195" s="8"/>
    </row>
    <row r="196" spans="1:10" ht="23.1" customHeight="1">
      <c r="A196" s="26"/>
      <c r="B196" s="26"/>
      <c r="C196" s="26"/>
      <c r="D196" s="27" t="s">
        <v>1140</v>
      </c>
      <c r="E196" s="142" t="s">
        <v>2135</v>
      </c>
      <c r="F196" s="142"/>
      <c r="G196" s="27" t="s">
        <v>2151</v>
      </c>
      <c r="H196" s="34">
        <f>Gas!D106</f>
        <v>30000</v>
      </c>
      <c r="I196" s="34">
        <f>Gas!E106</f>
        <v>30000</v>
      </c>
      <c r="J196" s="8"/>
    </row>
    <row r="197" spans="1:10" ht="23.1" customHeight="1">
      <c r="A197" s="26"/>
      <c r="B197" s="26"/>
      <c r="C197" s="26"/>
      <c r="D197" s="27" t="s">
        <v>2138</v>
      </c>
      <c r="E197" s="142" t="s">
        <v>2137</v>
      </c>
      <c r="F197" s="142"/>
      <c r="G197" s="27" t="s">
        <v>2151</v>
      </c>
      <c r="H197" s="34">
        <f>Gas!D15+Gas!D5*4</f>
        <v>1010000</v>
      </c>
      <c r="I197" s="34">
        <f>Gas!E15+Gas!E5*4</f>
        <v>1000000</v>
      </c>
      <c r="J197" s="8"/>
    </row>
    <row r="198" spans="1:10" ht="23.1" customHeight="1">
      <c r="A198" s="26"/>
      <c r="B198" s="26"/>
      <c r="C198" s="26"/>
      <c r="D198" s="27" t="s">
        <v>796</v>
      </c>
      <c r="E198" s="142" t="s">
        <v>795</v>
      </c>
      <c r="F198" s="142"/>
      <c r="G198" s="27" t="s">
        <v>2151</v>
      </c>
      <c r="H198" s="34">
        <f>Gas!D140</f>
        <v>35000</v>
      </c>
      <c r="I198" s="34">
        <f>Gas!E140</f>
        <v>60000</v>
      </c>
      <c r="J198" s="8"/>
    </row>
    <row r="199" spans="1:10" ht="23.1" customHeight="1">
      <c r="A199" s="26"/>
      <c r="B199" s="26"/>
      <c r="C199" s="26"/>
      <c r="D199" s="27" t="s">
        <v>798</v>
      </c>
      <c r="E199" s="142" t="s">
        <v>797</v>
      </c>
      <c r="F199" s="142"/>
      <c r="G199" s="27" t="s">
        <v>2151</v>
      </c>
      <c r="H199" s="34">
        <f>Gas!D141</f>
        <v>45000</v>
      </c>
      <c r="I199" s="34">
        <f>Gas!E141</f>
        <v>80000</v>
      </c>
      <c r="J199" s="8"/>
    </row>
    <row r="200" spans="1:10" ht="23.1" customHeight="1">
      <c r="A200" s="26"/>
      <c r="B200" s="26"/>
      <c r="C200" s="26"/>
      <c r="D200" s="27" t="s">
        <v>800</v>
      </c>
      <c r="E200" s="142" t="s">
        <v>799</v>
      </c>
      <c r="F200" s="142"/>
      <c r="G200" s="27" t="s">
        <v>2151</v>
      </c>
      <c r="H200" s="34">
        <f>Gas!D141</f>
        <v>45000</v>
      </c>
      <c r="I200" s="34">
        <f>Gas!E141</f>
        <v>80000</v>
      </c>
      <c r="J200" s="8"/>
    </row>
    <row r="201" spans="1:10" ht="23.1" customHeight="1">
      <c r="A201" s="26"/>
      <c r="B201" s="26"/>
      <c r="C201" s="26"/>
      <c r="D201" s="27" t="s">
        <v>802</v>
      </c>
      <c r="E201" s="142" t="s">
        <v>801</v>
      </c>
      <c r="F201" s="142"/>
      <c r="G201" s="27" t="s">
        <v>2151</v>
      </c>
      <c r="H201" s="34">
        <f>Gas!D142</f>
        <v>50000</v>
      </c>
      <c r="I201" s="34">
        <f>Gas!E142</f>
        <v>135000</v>
      </c>
      <c r="J201" s="8"/>
    </row>
    <row r="202" spans="1:10" ht="23.1" customHeight="1">
      <c r="A202" s="26"/>
      <c r="B202" s="26"/>
      <c r="C202" s="26"/>
      <c r="D202" s="27" t="s">
        <v>804</v>
      </c>
      <c r="E202" s="142" t="s">
        <v>803</v>
      </c>
      <c r="F202" s="142"/>
      <c r="G202" s="27" t="s">
        <v>2151</v>
      </c>
      <c r="H202" s="34">
        <f>Gas!D142</f>
        <v>50000</v>
      </c>
      <c r="I202" s="34">
        <f>Gas!E142</f>
        <v>135000</v>
      </c>
      <c r="J202" s="8"/>
    </row>
    <row r="203" spans="1:10" ht="23.1" customHeight="1">
      <c r="A203" s="26"/>
      <c r="B203" s="26"/>
      <c r="C203" s="26"/>
      <c r="D203" s="27" t="s">
        <v>806</v>
      </c>
      <c r="E203" s="142" t="s">
        <v>805</v>
      </c>
      <c r="F203" s="142"/>
      <c r="G203" s="27" t="s">
        <v>2151</v>
      </c>
      <c r="H203" s="34" t="e">
        <f>Gas!#REF!</f>
        <v>#REF!</v>
      </c>
      <c r="I203" s="34" t="e">
        <f>Gas!#REF!</f>
        <v>#REF!</v>
      </c>
      <c r="J203" s="8"/>
    </row>
    <row r="204" spans="1:10" ht="23.1" customHeight="1">
      <c r="A204" s="26"/>
      <c r="B204" s="26"/>
      <c r="C204" s="26"/>
      <c r="D204" s="27" t="s">
        <v>808</v>
      </c>
      <c r="E204" s="142" t="s">
        <v>807</v>
      </c>
      <c r="F204" s="142"/>
      <c r="G204" s="27" t="s">
        <v>2151</v>
      </c>
      <c r="H204" s="34" t="e">
        <f>Gas!#REF!</f>
        <v>#REF!</v>
      </c>
      <c r="I204" s="34" t="e">
        <f>Gas!#REF!</f>
        <v>#REF!</v>
      </c>
      <c r="J204" s="8"/>
    </row>
    <row r="205" spans="1:10" ht="23.1" customHeight="1">
      <c r="A205" s="26"/>
      <c r="B205" s="26"/>
      <c r="C205" s="26"/>
      <c r="D205" s="27" t="s">
        <v>810</v>
      </c>
      <c r="E205" s="142" t="s">
        <v>809</v>
      </c>
      <c r="F205" s="142"/>
      <c r="G205" s="27" t="s">
        <v>2151</v>
      </c>
      <c r="H205" s="34">
        <f>Gas!D139</f>
        <v>46000</v>
      </c>
      <c r="I205" s="34">
        <f>Gas!E139</f>
        <v>55000</v>
      </c>
      <c r="J205" s="8"/>
    </row>
    <row r="206" spans="1:10" ht="23.1" customHeight="1">
      <c r="A206" s="26"/>
      <c r="B206" s="26"/>
      <c r="C206" s="26"/>
      <c r="D206" s="27" t="s">
        <v>812</v>
      </c>
      <c r="E206" s="142" t="s">
        <v>811</v>
      </c>
      <c r="F206" s="142"/>
      <c r="G206" s="27" t="s">
        <v>2151</v>
      </c>
      <c r="H206" s="34">
        <f>Gas!D78</f>
        <v>0</v>
      </c>
      <c r="I206" s="34">
        <f>Gas!E78</f>
        <v>0</v>
      </c>
      <c r="J206" s="8"/>
    </row>
    <row r="207" spans="1:10" ht="23.1" customHeight="1">
      <c r="A207" s="26"/>
      <c r="B207" s="26"/>
      <c r="C207" s="26"/>
      <c r="D207" s="27" t="s">
        <v>814</v>
      </c>
      <c r="E207" s="142" t="s">
        <v>813</v>
      </c>
      <c r="F207" s="142"/>
      <c r="G207" s="27" t="s">
        <v>2151</v>
      </c>
      <c r="H207" s="34">
        <f>Gas!D76</f>
        <v>0</v>
      </c>
      <c r="I207" s="34">
        <f>Gas!E76</f>
        <v>0</v>
      </c>
      <c r="J207" s="8"/>
    </row>
    <row r="208" spans="1:10" ht="23.1" customHeight="1">
      <c r="A208" s="26"/>
      <c r="B208" s="26"/>
      <c r="C208" s="26"/>
      <c r="D208" s="27" t="s">
        <v>816</v>
      </c>
      <c r="E208" s="142" t="s">
        <v>815</v>
      </c>
      <c r="F208" s="142"/>
      <c r="G208" s="27" t="s">
        <v>2151</v>
      </c>
      <c r="H208" s="34">
        <f>Gas!D77</f>
        <v>0</v>
      </c>
      <c r="I208" s="34">
        <f>Gas!E77</f>
        <v>0</v>
      </c>
      <c r="J208" s="8"/>
    </row>
    <row r="209" spans="1:10" ht="23.1" customHeight="1">
      <c r="A209" s="26"/>
      <c r="B209" s="26"/>
      <c r="C209" s="26"/>
      <c r="D209" s="27" t="s">
        <v>818</v>
      </c>
      <c r="E209" s="142" t="s">
        <v>817</v>
      </c>
      <c r="F209" s="142"/>
      <c r="G209" s="27" t="s">
        <v>2151</v>
      </c>
      <c r="H209" s="34">
        <f>Gas!D80</f>
        <v>0</v>
      </c>
      <c r="I209" s="34">
        <f>Gas!E80</f>
        <v>0</v>
      </c>
      <c r="J209" s="8"/>
    </row>
    <row r="210" spans="1:10" ht="23.1" customHeight="1">
      <c r="A210" s="26"/>
      <c r="B210" s="26"/>
      <c r="C210" s="26"/>
      <c r="D210" s="27" t="s">
        <v>820</v>
      </c>
      <c r="E210" s="142" t="s">
        <v>819</v>
      </c>
      <c r="F210" s="142"/>
      <c r="G210" s="27" t="s">
        <v>2151</v>
      </c>
      <c r="H210" s="34">
        <f>Gas!D79</f>
        <v>0</v>
      </c>
      <c r="I210" s="34">
        <f>Gas!E79</f>
        <v>0</v>
      </c>
      <c r="J210" s="8"/>
    </row>
    <row r="211" spans="1:10" ht="23.1" customHeight="1">
      <c r="A211" s="26"/>
      <c r="B211" s="26"/>
      <c r="C211" s="26"/>
      <c r="D211" s="27" t="s">
        <v>822</v>
      </c>
      <c r="E211" s="142" t="s">
        <v>821</v>
      </c>
      <c r="F211" s="142"/>
      <c r="G211" s="27" t="s">
        <v>2151</v>
      </c>
      <c r="H211" s="34">
        <f>Gas!D81</f>
        <v>0</v>
      </c>
      <c r="I211" s="34">
        <f>Gas!E81</f>
        <v>0</v>
      </c>
      <c r="J211" s="8"/>
    </row>
    <row r="212" spans="1:10" ht="24.75" customHeight="1">
      <c r="A212" s="26"/>
      <c r="B212" s="26"/>
      <c r="C212" s="26"/>
      <c r="D212" s="27" t="s">
        <v>824</v>
      </c>
      <c r="E212" s="142" t="s">
        <v>823</v>
      </c>
      <c r="F212" s="142"/>
      <c r="G212" s="27" t="s">
        <v>2151</v>
      </c>
      <c r="H212" s="34">
        <f>Gas!D82</f>
        <v>6000000</v>
      </c>
      <c r="I212" s="34">
        <f>Gas!E82</f>
        <v>0</v>
      </c>
      <c r="J212" s="8"/>
    </row>
    <row r="213" spans="1:10" ht="23.1" customHeight="1">
      <c r="A213" s="26"/>
      <c r="B213" s="26"/>
      <c r="C213" s="26"/>
      <c r="D213" s="27" t="s">
        <v>826</v>
      </c>
      <c r="E213" s="142" t="s">
        <v>825</v>
      </c>
      <c r="F213" s="142"/>
      <c r="G213" s="27" t="s">
        <v>2151</v>
      </c>
      <c r="H213" s="34">
        <f>Gas!D83</f>
        <v>0</v>
      </c>
      <c r="I213" s="34">
        <f>Gas!E83</f>
        <v>0</v>
      </c>
      <c r="J213" s="8"/>
    </row>
    <row r="214" spans="1:10" ht="23.1" customHeight="1">
      <c r="A214" s="26"/>
      <c r="B214" s="26"/>
      <c r="C214" s="26"/>
      <c r="D214" s="27" t="s">
        <v>828</v>
      </c>
      <c r="E214" s="142" t="s">
        <v>827</v>
      </c>
      <c r="F214" s="142"/>
      <c r="G214" s="27" t="s">
        <v>2151</v>
      </c>
      <c r="H214" s="34">
        <f>Gas!D84</f>
        <v>0</v>
      </c>
      <c r="I214" s="34">
        <f>Gas!E84</f>
        <v>0</v>
      </c>
      <c r="J214" s="8"/>
    </row>
    <row r="215" spans="1:10" ht="23.1" customHeight="1">
      <c r="A215" s="26"/>
      <c r="B215" s="26"/>
      <c r="C215" s="26"/>
      <c r="D215" s="27" t="s">
        <v>856</v>
      </c>
      <c r="E215" s="142" t="s">
        <v>855</v>
      </c>
      <c r="F215" s="142"/>
      <c r="G215" s="27" t="s">
        <v>2151</v>
      </c>
      <c r="H215" s="34">
        <f>Gas!D50</f>
        <v>40000</v>
      </c>
      <c r="I215" s="34">
        <f>Gas!E50</f>
        <v>40000</v>
      </c>
      <c r="J215" s="8"/>
    </row>
    <row r="216" spans="1:10" ht="23.1" customHeight="1">
      <c r="A216" s="26"/>
      <c r="B216" s="26"/>
      <c r="C216" s="26"/>
      <c r="D216" s="27" t="s">
        <v>858</v>
      </c>
      <c r="E216" s="142" t="s">
        <v>857</v>
      </c>
      <c r="F216" s="142"/>
      <c r="G216" s="27" t="s">
        <v>2151</v>
      </c>
      <c r="H216" s="34">
        <f>Gas!D53</f>
        <v>50000</v>
      </c>
      <c r="I216" s="34">
        <f>Gas!E53</f>
        <v>50000</v>
      </c>
      <c r="J216" s="8"/>
    </row>
    <row r="217" spans="1:10" ht="23.1" customHeight="1">
      <c r="A217" s="26"/>
      <c r="B217" s="26"/>
      <c r="C217" s="26"/>
      <c r="D217" s="27" t="s">
        <v>860</v>
      </c>
      <c r="E217" s="142" t="s">
        <v>859</v>
      </c>
      <c r="F217" s="142"/>
      <c r="G217" s="27" t="s">
        <v>2151</v>
      </c>
      <c r="H217" s="34">
        <f>Gas!D54</f>
        <v>60000</v>
      </c>
      <c r="I217" s="34">
        <f>Gas!E54</f>
        <v>60000</v>
      </c>
      <c r="J217" s="8"/>
    </row>
    <row r="218" spans="1:10" ht="23.1" customHeight="1">
      <c r="A218" s="26"/>
      <c r="B218" s="26"/>
      <c r="C218" s="26"/>
      <c r="D218" s="27" t="s">
        <v>862</v>
      </c>
      <c r="E218" s="142" t="s">
        <v>861</v>
      </c>
      <c r="F218" s="142"/>
      <c r="G218" s="27" t="s">
        <v>2151</v>
      </c>
      <c r="H218" s="34">
        <f>Gas!D55</f>
        <v>60000</v>
      </c>
      <c r="I218" s="34">
        <f>Gas!E55</f>
        <v>60000</v>
      </c>
      <c r="J218" s="8"/>
    </row>
    <row r="219" spans="1:10" ht="23.1" customHeight="1">
      <c r="A219" s="26"/>
      <c r="B219" s="26"/>
      <c r="C219" s="26"/>
      <c r="D219" s="27" t="s">
        <v>864</v>
      </c>
      <c r="E219" s="142" t="s">
        <v>863</v>
      </c>
      <c r="F219" s="142"/>
      <c r="G219" s="27" t="s">
        <v>2151</v>
      </c>
      <c r="H219" s="34">
        <f>Gas!D55</f>
        <v>60000</v>
      </c>
      <c r="I219" s="34">
        <f>Gas!E55</f>
        <v>60000</v>
      </c>
      <c r="J219" s="8"/>
    </row>
    <row r="220" spans="1:10" ht="23.1" customHeight="1">
      <c r="A220" s="26"/>
      <c r="B220" s="26"/>
      <c r="C220" s="26"/>
      <c r="D220" s="27" t="s">
        <v>866</v>
      </c>
      <c r="E220" s="142" t="s">
        <v>865</v>
      </c>
      <c r="F220" s="142"/>
      <c r="G220" s="27" t="s">
        <v>2151</v>
      </c>
      <c r="H220" s="34">
        <f>Gas!D58</f>
        <v>80000</v>
      </c>
      <c r="I220" s="34">
        <f>Gas!E58</f>
        <v>80000</v>
      </c>
      <c r="J220" s="8"/>
    </row>
    <row r="221" spans="1:10" ht="23.1" customHeight="1">
      <c r="A221" s="26"/>
      <c r="B221" s="26"/>
      <c r="C221" s="26"/>
      <c r="D221" s="27" t="s">
        <v>868</v>
      </c>
      <c r="E221" s="142" t="s">
        <v>867</v>
      </c>
      <c r="F221" s="142"/>
      <c r="G221" s="27" t="s">
        <v>2151</v>
      </c>
      <c r="H221" s="34">
        <f>Gas!D62</f>
        <v>100000</v>
      </c>
      <c r="I221" s="34">
        <f>Gas!E62</f>
        <v>100000</v>
      </c>
      <c r="J221" s="8"/>
    </row>
    <row r="222" spans="1:10" ht="23.1" customHeight="1">
      <c r="A222" s="26"/>
      <c r="B222" s="26"/>
      <c r="C222" s="26"/>
      <c r="D222" s="27" t="s">
        <v>870</v>
      </c>
      <c r="E222" s="142" t="s">
        <v>869</v>
      </c>
      <c r="F222" s="142"/>
      <c r="G222" s="27" t="s">
        <v>2151</v>
      </c>
      <c r="H222" s="34">
        <f>Gas!D64</f>
        <v>145000</v>
      </c>
      <c r="I222" s="34">
        <f>Gas!E64</f>
        <v>110000</v>
      </c>
      <c r="J222" s="8"/>
    </row>
    <row r="223" spans="1:10" ht="23.1" customHeight="1">
      <c r="A223" s="26"/>
      <c r="B223" s="26"/>
      <c r="C223" s="26"/>
      <c r="D223" s="27" t="s">
        <v>872</v>
      </c>
      <c r="E223" s="142" t="s">
        <v>871</v>
      </c>
      <c r="F223" s="142"/>
      <c r="G223" s="27" t="s">
        <v>2151</v>
      </c>
      <c r="H223" s="34">
        <f>Gas!D66</f>
        <v>101250</v>
      </c>
      <c r="I223" s="34">
        <f>Gas!E66</f>
        <v>120000</v>
      </c>
      <c r="J223" s="8"/>
    </row>
    <row r="224" spans="1:10" ht="23.1" customHeight="1">
      <c r="A224" s="26"/>
      <c r="B224" s="26"/>
      <c r="C224" s="26"/>
      <c r="D224" s="27" t="s">
        <v>874</v>
      </c>
      <c r="E224" s="142" t="s">
        <v>873</v>
      </c>
      <c r="F224" s="142"/>
      <c r="G224" s="27" t="s">
        <v>2151</v>
      </c>
      <c r="H224" s="34">
        <f>Gas!D72</f>
        <v>135000</v>
      </c>
      <c r="I224" s="34">
        <f>Gas!E72</f>
        <v>140000</v>
      </c>
      <c r="J224" s="8"/>
    </row>
    <row r="225" spans="1:10" ht="23.1" customHeight="1">
      <c r="A225" s="26"/>
      <c r="B225" s="26"/>
      <c r="C225" s="26"/>
      <c r="D225" s="27" t="s">
        <v>876</v>
      </c>
      <c r="E225" s="142" t="s">
        <v>875</v>
      </c>
      <c r="F225" s="142"/>
      <c r="G225" s="27" t="s">
        <v>2151</v>
      </c>
      <c r="H225" s="34">
        <f>Gas!D72</f>
        <v>135000</v>
      </c>
      <c r="I225" s="34">
        <f>Gas!E72</f>
        <v>140000</v>
      </c>
      <c r="J225" s="8"/>
    </row>
    <row r="226" spans="1:10" ht="27" customHeight="1">
      <c r="A226" s="26"/>
      <c r="B226" s="26"/>
      <c r="C226" s="26"/>
      <c r="D226" s="27" t="s">
        <v>878</v>
      </c>
      <c r="E226" s="142" t="s">
        <v>877</v>
      </c>
      <c r="F226" s="142"/>
      <c r="G226" s="27" t="s">
        <v>2151</v>
      </c>
      <c r="H226" s="34">
        <f>Gas!D69</f>
        <v>168750</v>
      </c>
      <c r="I226" s="34">
        <f>Gas!E69</f>
        <v>162500</v>
      </c>
      <c r="J226" s="8"/>
    </row>
    <row r="227" spans="1:10" ht="23.1" customHeight="1">
      <c r="A227" s="26"/>
      <c r="B227" s="26"/>
      <c r="C227" s="26"/>
      <c r="D227" s="27" t="s">
        <v>880</v>
      </c>
      <c r="E227" s="142" t="s">
        <v>879</v>
      </c>
      <c r="F227" s="142"/>
      <c r="G227" s="27" t="s">
        <v>2151</v>
      </c>
      <c r="H227" s="34">
        <f>Gas!D69</f>
        <v>168750</v>
      </c>
      <c r="I227" s="34">
        <f>Gas!E69</f>
        <v>162500</v>
      </c>
      <c r="J227" s="8"/>
    </row>
    <row r="228" spans="1:10" ht="23.1" customHeight="1">
      <c r="A228" s="26"/>
      <c r="B228" s="26"/>
      <c r="C228" s="26"/>
      <c r="D228" s="27" t="s">
        <v>882</v>
      </c>
      <c r="E228" s="142" t="s">
        <v>881</v>
      </c>
      <c r="F228" s="142"/>
      <c r="G228" s="27" t="s">
        <v>2151</v>
      </c>
      <c r="H228" s="34">
        <f>Gas!D73</f>
        <v>303750</v>
      </c>
      <c r="I228" s="34">
        <f>Gas!E73</f>
        <v>292500</v>
      </c>
      <c r="J228" s="8"/>
    </row>
    <row r="229" spans="1:10" ht="23.1" customHeight="1">
      <c r="A229" s="26"/>
      <c r="B229" s="26"/>
      <c r="C229" s="26"/>
      <c r="D229" s="27" t="s">
        <v>884</v>
      </c>
      <c r="E229" s="142" t="s">
        <v>883</v>
      </c>
      <c r="F229" s="142"/>
      <c r="G229" s="27" t="s">
        <v>2151</v>
      </c>
      <c r="H229" s="34">
        <f>Gas!D65</f>
        <v>225000</v>
      </c>
      <c r="I229" s="34">
        <f>Gas!E65</f>
        <v>195000</v>
      </c>
      <c r="J229" s="8"/>
    </row>
    <row r="230" spans="1:10" ht="23.1" customHeight="1">
      <c r="A230" s="26"/>
      <c r="B230" s="26"/>
      <c r="C230" s="26"/>
      <c r="D230" s="27" t="s">
        <v>886</v>
      </c>
      <c r="E230" s="142" t="s">
        <v>885</v>
      </c>
      <c r="F230" s="142"/>
      <c r="G230" s="27" t="s">
        <v>2151</v>
      </c>
      <c r="H230" s="34">
        <v>0</v>
      </c>
      <c r="I230" s="34">
        <v>0</v>
      </c>
      <c r="J230" s="8"/>
    </row>
    <row r="231" spans="1:10" ht="23.1" customHeight="1">
      <c r="A231" s="26"/>
      <c r="B231" s="26"/>
      <c r="C231" s="26"/>
      <c r="D231" s="27" t="s">
        <v>888</v>
      </c>
      <c r="E231" s="142" t="s">
        <v>887</v>
      </c>
      <c r="F231" s="142"/>
      <c r="G231" s="27" t="s">
        <v>2151</v>
      </c>
      <c r="H231" s="34">
        <f>Gas!D47</f>
        <v>360000</v>
      </c>
      <c r="I231" s="34">
        <f>Gas!E47</f>
        <v>360000</v>
      </c>
      <c r="J231" s="8"/>
    </row>
    <row r="232" spans="1:10" ht="23.1" customHeight="1">
      <c r="A232" s="26"/>
      <c r="B232" s="26"/>
      <c r="C232" s="26"/>
      <c r="D232" s="27" t="s">
        <v>890</v>
      </c>
      <c r="E232" s="142" t="s">
        <v>889</v>
      </c>
      <c r="F232" s="142"/>
      <c r="G232" s="27" t="s">
        <v>2151</v>
      </c>
      <c r="H232" s="34">
        <f>Gas!D48</f>
        <v>405000</v>
      </c>
      <c r="I232" s="34">
        <f>Gas!E48</f>
        <v>405000</v>
      </c>
      <c r="J232" s="8"/>
    </row>
    <row r="233" spans="1:10" ht="23.1" customHeight="1">
      <c r="A233" s="26"/>
      <c r="B233" s="26"/>
      <c r="C233" s="26"/>
      <c r="D233" s="27" t="s">
        <v>892</v>
      </c>
      <c r="E233" s="142" t="s">
        <v>891</v>
      </c>
      <c r="F233" s="142"/>
      <c r="G233" s="27" t="s">
        <v>2151</v>
      </c>
      <c r="H233" s="34">
        <f>Gas!D74</f>
        <v>0</v>
      </c>
      <c r="I233" s="34">
        <f>Gas!E74</f>
        <v>0</v>
      </c>
      <c r="J233" s="8"/>
    </row>
    <row r="234" spans="1:10" ht="23.1" customHeight="1">
      <c r="A234" s="26"/>
      <c r="B234" s="26"/>
      <c r="C234" s="26"/>
      <c r="D234" s="27" t="s">
        <v>894</v>
      </c>
      <c r="E234" s="142" t="s">
        <v>893</v>
      </c>
      <c r="F234" s="142"/>
      <c r="G234" s="27" t="s">
        <v>2151</v>
      </c>
      <c r="H234" s="34">
        <f>Gas!D117</f>
        <v>400000</v>
      </c>
      <c r="I234" s="34">
        <f>Gas!E117</f>
        <v>400000</v>
      </c>
      <c r="J234" s="8"/>
    </row>
    <row r="235" spans="1:10" ht="23.1" customHeight="1">
      <c r="A235" s="26"/>
      <c r="B235" s="26"/>
      <c r="C235" s="26"/>
      <c r="D235" s="27" t="s">
        <v>896</v>
      </c>
      <c r="E235" s="142" t="s">
        <v>895</v>
      </c>
      <c r="F235" s="142"/>
      <c r="G235" s="27" t="s">
        <v>2151</v>
      </c>
      <c r="H235" s="34">
        <f>Gas!D118</f>
        <v>400000</v>
      </c>
      <c r="I235" s="34">
        <f>Gas!E118</f>
        <v>400000</v>
      </c>
      <c r="J235" s="8"/>
    </row>
    <row r="236" spans="1:10" ht="23.1" customHeight="1">
      <c r="A236" s="26"/>
      <c r="B236" s="26"/>
      <c r="C236" s="26"/>
      <c r="D236" s="27" t="s">
        <v>898</v>
      </c>
      <c r="E236" s="142" t="s">
        <v>897</v>
      </c>
      <c r="F236" s="142"/>
      <c r="G236" s="27" t="s">
        <v>2151</v>
      </c>
      <c r="H236" s="34" t="e">
        <f>Gas!#REF!</f>
        <v>#REF!</v>
      </c>
      <c r="I236" s="34" t="e">
        <f>Gas!#REF!</f>
        <v>#REF!</v>
      </c>
      <c r="J236" s="8"/>
    </row>
    <row r="237" spans="1:10" ht="23.1" customHeight="1">
      <c r="A237" s="26"/>
      <c r="B237" s="26"/>
      <c r="C237" s="26"/>
      <c r="D237" s="27" t="s">
        <v>900</v>
      </c>
      <c r="E237" s="142" t="s">
        <v>899</v>
      </c>
      <c r="F237" s="142"/>
      <c r="G237" s="27" t="s">
        <v>2151</v>
      </c>
      <c r="H237" s="34">
        <f>Gas!D120</f>
        <v>1020000</v>
      </c>
      <c r="I237" s="34">
        <f>Gas!E120</f>
        <v>1020000</v>
      </c>
      <c r="J237" s="8"/>
    </row>
    <row r="238" spans="1:10" ht="23.1" customHeight="1">
      <c r="A238" s="26"/>
      <c r="B238" s="26"/>
      <c r="C238" s="26"/>
      <c r="D238" s="27" t="s">
        <v>902</v>
      </c>
      <c r="E238" s="142" t="s">
        <v>901</v>
      </c>
      <c r="F238" s="142"/>
      <c r="G238" s="27" t="s">
        <v>2151</v>
      </c>
      <c r="H238" s="34">
        <f>Gas!D121</f>
        <v>1360000</v>
      </c>
      <c r="I238" s="34">
        <f>Gas!E121</f>
        <v>1360000</v>
      </c>
      <c r="J238" s="8"/>
    </row>
    <row r="239" spans="1:10" ht="23.1" customHeight="1">
      <c r="A239" s="26"/>
      <c r="B239" s="26"/>
      <c r="C239" s="26"/>
      <c r="D239" s="27" t="s">
        <v>904</v>
      </c>
      <c r="E239" s="142" t="s">
        <v>903</v>
      </c>
      <c r="F239" s="142"/>
      <c r="G239" s="27" t="s">
        <v>2151</v>
      </c>
      <c r="H239" s="34">
        <f>Gas!D122</f>
        <v>2040000</v>
      </c>
      <c r="I239" s="34">
        <f>Gas!E122</f>
        <v>2040000</v>
      </c>
      <c r="J239" s="8"/>
    </row>
    <row r="240" spans="1:10" ht="23.1" customHeight="1">
      <c r="A240" s="26"/>
      <c r="B240" s="26"/>
      <c r="C240" s="26"/>
      <c r="D240" s="27" t="s">
        <v>906</v>
      </c>
      <c r="E240" s="142" t="s">
        <v>905</v>
      </c>
      <c r="F240" s="142"/>
      <c r="G240" s="27" t="s">
        <v>2151</v>
      </c>
      <c r="H240" s="34">
        <f>Gas!D123</f>
        <v>2250000</v>
      </c>
      <c r="I240" s="34">
        <f>Gas!E123</f>
        <v>2250000</v>
      </c>
      <c r="J240" s="8"/>
    </row>
    <row r="241" spans="1:10" ht="23.1" customHeight="1">
      <c r="A241" s="26"/>
      <c r="B241" s="26"/>
      <c r="C241" s="26"/>
      <c r="D241" s="27" t="s">
        <v>908</v>
      </c>
      <c r="E241" s="142" t="s">
        <v>907</v>
      </c>
      <c r="F241" s="142"/>
      <c r="G241" s="27" t="s">
        <v>2151</v>
      </c>
      <c r="H241" s="34">
        <f>Gas!D123</f>
        <v>2250000</v>
      </c>
      <c r="I241" s="34">
        <f>Gas!E123</f>
        <v>2250000</v>
      </c>
      <c r="J241" s="8"/>
    </row>
    <row r="242" spans="1:10" ht="23.1" customHeight="1">
      <c r="A242" s="26"/>
      <c r="B242" s="26"/>
      <c r="C242" s="26"/>
      <c r="D242" s="27" t="s">
        <v>910</v>
      </c>
      <c r="E242" s="142" t="s">
        <v>909</v>
      </c>
      <c r="F242" s="142"/>
      <c r="G242" s="27" t="s">
        <v>2151</v>
      </c>
      <c r="H242" s="34">
        <f>Gas!D124</f>
        <v>3000000</v>
      </c>
      <c r="I242" s="34">
        <f>Gas!E124</f>
        <v>3000000</v>
      </c>
      <c r="J242" s="8"/>
    </row>
    <row r="243" spans="1:10" ht="23.1" customHeight="1">
      <c r="A243" s="26"/>
      <c r="B243" s="26"/>
      <c r="C243" s="26"/>
      <c r="D243" s="27" t="s">
        <v>912</v>
      </c>
      <c r="E243" s="142" t="s">
        <v>911</v>
      </c>
      <c r="F243" s="142"/>
      <c r="G243" s="27" t="s">
        <v>2151</v>
      </c>
      <c r="H243" s="34">
        <f>Gas!D124</f>
        <v>3000000</v>
      </c>
      <c r="I243" s="34">
        <f>Gas!E124</f>
        <v>3000000</v>
      </c>
      <c r="J243" s="8"/>
    </row>
    <row r="244" spans="1:10" ht="23.1" customHeight="1">
      <c r="A244" s="26"/>
      <c r="B244" s="26"/>
      <c r="C244" s="26"/>
      <c r="D244" s="27" t="s">
        <v>914</v>
      </c>
      <c r="E244" s="142" t="s">
        <v>913</v>
      </c>
      <c r="F244" s="142"/>
      <c r="G244" s="27" t="s">
        <v>2151</v>
      </c>
      <c r="H244" s="34">
        <f>Gas!D125</f>
        <v>3750000</v>
      </c>
      <c r="I244" s="34">
        <f>Gas!E125</f>
        <v>3750000</v>
      </c>
      <c r="J244" s="8"/>
    </row>
    <row r="245" spans="1:10" ht="23.1" customHeight="1">
      <c r="A245" s="26"/>
      <c r="B245" s="26"/>
      <c r="C245" s="26"/>
      <c r="D245" s="27" t="s">
        <v>916</v>
      </c>
      <c r="E245" s="142" t="s">
        <v>915</v>
      </c>
      <c r="F245" s="142"/>
      <c r="G245" s="27" t="s">
        <v>2151</v>
      </c>
      <c r="H245" s="34">
        <f>Gas!D125</f>
        <v>3750000</v>
      </c>
      <c r="I245" s="34">
        <f>Gas!E125</f>
        <v>3750000</v>
      </c>
      <c r="J245" s="8"/>
    </row>
    <row r="246" spans="1:10" ht="23.1" customHeight="1">
      <c r="A246" s="26"/>
      <c r="B246" s="26"/>
      <c r="C246" s="26"/>
      <c r="D246" s="27" t="s">
        <v>918</v>
      </c>
      <c r="E246" s="142" t="s">
        <v>917</v>
      </c>
      <c r="F246" s="142"/>
      <c r="G246" s="27" t="s">
        <v>2151</v>
      </c>
      <c r="H246" s="34">
        <f>Gas!D126</f>
        <v>0</v>
      </c>
      <c r="I246" s="34">
        <f>Gas!E126</f>
        <v>0</v>
      </c>
      <c r="J246" s="8"/>
    </row>
    <row r="247" spans="1:10" ht="23.1" customHeight="1">
      <c r="A247" s="26"/>
      <c r="B247" s="26"/>
      <c r="C247" s="26"/>
      <c r="D247" s="27" t="s">
        <v>920</v>
      </c>
      <c r="E247" s="142" t="s">
        <v>919</v>
      </c>
      <c r="F247" s="142"/>
      <c r="G247" s="27" t="s">
        <v>2151</v>
      </c>
      <c r="H247" s="34">
        <f>Gas!D21</f>
        <v>65000</v>
      </c>
      <c r="I247" s="34">
        <f>Gas!E21</f>
        <v>65000</v>
      </c>
      <c r="J247" s="8"/>
    </row>
    <row r="248" spans="1:10" ht="23.1" customHeight="1">
      <c r="A248" s="26"/>
      <c r="B248" s="26"/>
      <c r="C248" s="26"/>
      <c r="D248" s="27" t="s">
        <v>922</v>
      </c>
      <c r="E248" s="142" t="s">
        <v>921</v>
      </c>
      <c r="F248" s="142"/>
      <c r="G248" s="27" t="s">
        <v>2151</v>
      </c>
      <c r="H248" s="34">
        <f>Gas!D24</f>
        <v>65000</v>
      </c>
      <c r="I248" s="34">
        <f>Gas!E24</f>
        <v>75000</v>
      </c>
      <c r="J248" s="8"/>
    </row>
    <row r="249" spans="1:10" ht="23.1" customHeight="1">
      <c r="A249" s="26"/>
      <c r="B249" s="26"/>
      <c r="C249" s="26"/>
      <c r="D249" s="27" t="s">
        <v>924</v>
      </c>
      <c r="E249" s="142" t="s">
        <v>923</v>
      </c>
      <c r="F249" s="142"/>
      <c r="G249" s="27" t="s">
        <v>2151</v>
      </c>
      <c r="H249" s="34">
        <f>Gas!D27</f>
        <v>65000</v>
      </c>
      <c r="I249" s="34">
        <f>Gas!E27</f>
        <v>90000</v>
      </c>
      <c r="J249" s="8"/>
    </row>
    <row r="250" spans="1:10" ht="23.1" customHeight="1">
      <c r="A250" s="26"/>
      <c r="B250" s="26"/>
      <c r="C250" s="26"/>
      <c r="D250" s="27" t="s">
        <v>926</v>
      </c>
      <c r="E250" s="142" t="s">
        <v>925</v>
      </c>
      <c r="F250" s="142"/>
      <c r="G250" s="27" t="s">
        <v>2151</v>
      </c>
      <c r="H250" s="34">
        <f>Gas!D30</f>
        <v>85000</v>
      </c>
      <c r="I250" s="34">
        <f>Gas!E30</f>
        <v>120000</v>
      </c>
      <c r="J250" s="8"/>
    </row>
    <row r="251" spans="1:10" ht="23.1" customHeight="1">
      <c r="A251" s="26"/>
      <c r="B251" s="26"/>
      <c r="C251" s="26"/>
      <c r="D251" s="27" t="s">
        <v>928</v>
      </c>
      <c r="E251" s="142" t="s">
        <v>927</v>
      </c>
      <c r="F251" s="142"/>
      <c r="G251" s="27" t="s">
        <v>2151</v>
      </c>
      <c r="H251" s="34">
        <f>Gas!D33</f>
        <v>105000</v>
      </c>
      <c r="I251" s="34">
        <f>Gas!E33</f>
        <v>140000</v>
      </c>
      <c r="J251" s="8"/>
    </row>
    <row r="252" spans="1:10" ht="17.25" customHeight="1">
      <c r="A252" s="26"/>
      <c r="B252" s="26"/>
      <c r="C252" s="26"/>
      <c r="D252" s="27" t="s">
        <v>930</v>
      </c>
      <c r="E252" s="142" t="s">
        <v>929</v>
      </c>
      <c r="F252" s="142"/>
      <c r="G252" s="27" t="s">
        <v>2151</v>
      </c>
      <c r="H252" s="34">
        <f>Gas!D36</f>
        <v>140000</v>
      </c>
      <c r="I252" s="34">
        <f>Gas!E36</f>
        <v>150000</v>
      </c>
      <c r="J252" s="8"/>
    </row>
    <row r="253" spans="1:10" ht="23.1" customHeight="1">
      <c r="A253" s="26"/>
      <c r="B253" s="26"/>
      <c r="C253" s="26"/>
      <c r="D253" s="27" t="s">
        <v>932</v>
      </c>
      <c r="E253" s="142" t="s">
        <v>931</v>
      </c>
      <c r="F253" s="142"/>
      <c r="G253" s="27" t="s">
        <v>2151</v>
      </c>
      <c r="H253" s="34">
        <f>Gas!D37</f>
        <v>140000</v>
      </c>
      <c r="I253" s="34">
        <f>Gas!E37</f>
        <v>170000</v>
      </c>
      <c r="J253" s="8"/>
    </row>
    <row r="254" spans="1:10" ht="23.1" customHeight="1">
      <c r="A254" s="26"/>
      <c r="B254" s="26"/>
      <c r="C254" s="26"/>
      <c r="D254" s="27" t="s">
        <v>934</v>
      </c>
      <c r="E254" s="142" t="s">
        <v>933</v>
      </c>
      <c r="F254" s="142"/>
      <c r="G254" s="27" t="s">
        <v>2151</v>
      </c>
      <c r="H254" s="34">
        <f>Gas!D38</f>
        <v>165000</v>
      </c>
      <c r="I254" s="34">
        <f>Gas!E38</f>
        <v>195000</v>
      </c>
      <c r="J254" s="8"/>
    </row>
    <row r="255" spans="1:10" ht="23.1" customHeight="1">
      <c r="A255" s="26"/>
      <c r="B255" s="26"/>
      <c r="C255" s="26"/>
      <c r="D255" s="27" t="s">
        <v>936</v>
      </c>
      <c r="E255" s="142" t="s">
        <v>935</v>
      </c>
      <c r="F255" s="142"/>
      <c r="G255" s="27" t="s">
        <v>2151</v>
      </c>
      <c r="H255" s="34">
        <f>Gas!D22</f>
        <v>165000</v>
      </c>
      <c r="I255" s="34">
        <f>Gas!E22</f>
        <v>165000</v>
      </c>
      <c r="J255" s="8"/>
    </row>
    <row r="256" spans="1:10" ht="23.1" customHeight="1">
      <c r="A256" s="26"/>
      <c r="B256" s="26"/>
      <c r="C256" s="26"/>
      <c r="D256" s="27" t="s">
        <v>938</v>
      </c>
      <c r="E256" s="142" t="s">
        <v>937</v>
      </c>
      <c r="F256" s="142"/>
      <c r="G256" s="27" t="s">
        <v>2151</v>
      </c>
      <c r="H256" s="34">
        <f>Gas!D25</f>
        <v>65000</v>
      </c>
      <c r="I256" s="34">
        <f>Gas!E25</f>
        <v>65000</v>
      </c>
      <c r="J256" s="8"/>
    </row>
    <row r="257" spans="1:10" ht="23.1" customHeight="1">
      <c r="A257" s="26"/>
      <c r="B257" s="26"/>
      <c r="C257" s="26"/>
      <c r="D257" s="27" t="s">
        <v>940</v>
      </c>
      <c r="E257" s="142" t="s">
        <v>939</v>
      </c>
      <c r="F257" s="142"/>
      <c r="G257" s="27" t="s">
        <v>2151</v>
      </c>
      <c r="H257" s="34">
        <f>Gas!D28</f>
        <v>165000</v>
      </c>
      <c r="I257" s="34">
        <f>Gas!E28</f>
        <v>150000</v>
      </c>
      <c r="J257" s="8"/>
    </row>
    <row r="258" spans="1:10" ht="23.1" customHeight="1">
      <c r="A258" s="26"/>
      <c r="B258" s="26"/>
      <c r="C258" s="26"/>
      <c r="D258" s="27" t="s">
        <v>942</v>
      </c>
      <c r="E258" s="142" t="s">
        <v>941</v>
      </c>
      <c r="F258" s="142"/>
      <c r="G258" s="27" t="s">
        <v>2151</v>
      </c>
      <c r="H258" s="34">
        <f>Gas!D31</f>
        <v>165000</v>
      </c>
      <c r="I258" s="34">
        <f>Gas!E31</f>
        <v>150000</v>
      </c>
      <c r="J258" s="8"/>
    </row>
    <row r="259" spans="1:10" ht="23.1" customHeight="1">
      <c r="A259" s="26"/>
      <c r="B259" s="26"/>
      <c r="C259" s="26"/>
      <c r="D259" s="27" t="s">
        <v>944</v>
      </c>
      <c r="E259" s="142" t="s">
        <v>943</v>
      </c>
      <c r="F259" s="142"/>
      <c r="G259" s="27" t="s">
        <v>2151</v>
      </c>
      <c r="H259" s="34">
        <f>Gas!D34</f>
        <v>165000</v>
      </c>
      <c r="I259" s="34">
        <f>Gas!E34</f>
        <v>165000</v>
      </c>
      <c r="J259" s="8"/>
    </row>
    <row r="260" spans="1:10" ht="23.1" customHeight="1">
      <c r="A260" s="26"/>
      <c r="B260" s="26"/>
      <c r="C260" s="26"/>
      <c r="D260" s="27" t="s">
        <v>946</v>
      </c>
      <c r="E260" s="142" t="s">
        <v>945</v>
      </c>
      <c r="F260" s="142"/>
      <c r="G260" s="27" t="s">
        <v>2151</v>
      </c>
      <c r="H260" s="34">
        <f>Gas!D39</f>
        <v>245000</v>
      </c>
      <c r="I260" s="34">
        <f>Gas!E39</f>
        <v>245000</v>
      </c>
      <c r="J260" s="8"/>
    </row>
    <row r="261" spans="1:10" ht="23.1" customHeight="1">
      <c r="A261" s="26"/>
      <c r="B261" s="26"/>
      <c r="C261" s="26"/>
      <c r="D261" s="27" t="s">
        <v>948</v>
      </c>
      <c r="E261" s="142" t="s">
        <v>947</v>
      </c>
      <c r="F261" s="142"/>
      <c r="G261" s="27" t="s">
        <v>2151</v>
      </c>
      <c r="H261" s="34">
        <f>Gas!D39</f>
        <v>245000</v>
      </c>
      <c r="I261" s="34">
        <f>Gas!E39</f>
        <v>245000</v>
      </c>
      <c r="J261" s="8"/>
    </row>
    <row r="262" spans="1:10" ht="23.1" customHeight="1">
      <c r="A262" s="26"/>
      <c r="B262" s="26"/>
      <c r="C262" s="26"/>
      <c r="D262" s="27" t="s">
        <v>950</v>
      </c>
      <c r="E262" s="142" t="s">
        <v>949</v>
      </c>
      <c r="F262" s="142"/>
      <c r="G262" s="27" t="s">
        <v>2151</v>
      </c>
      <c r="H262" s="34">
        <f>Gas!D43</f>
        <v>850000</v>
      </c>
      <c r="I262" s="34">
        <f>Gas!E43</f>
        <v>0</v>
      </c>
      <c r="J262" s="8"/>
    </row>
    <row r="263" spans="1:10" ht="23.1" customHeight="1">
      <c r="A263" s="26"/>
      <c r="B263" s="26"/>
      <c r="C263" s="26"/>
      <c r="D263" s="27" t="s">
        <v>952</v>
      </c>
      <c r="E263" s="142" t="s">
        <v>951</v>
      </c>
      <c r="F263" s="142"/>
      <c r="G263" s="27" t="s">
        <v>2151</v>
      </c>
      <c r="H263" s="34">
        <f>Gas!D23</f>
        <v>515000</v>
      </c>
      <c r="I263" s="34">
        <f>Gas!E23</f>
        <v>515000</v>
      </c>
      <c r="J263" s="8"/>
    </row>
    <row r="264" spans="1:10" ht="23.1" customHeight="1">
      <c r="A264" s="26"/>
      <c r="B264" s="26"/>
      <c r="C264" s="26"/>
      <c r="D264" s="27" t="s">
        <v>954</v>
      </c>
      <c r="E264" s="142" t="s">
        <v>953</v>
      </c>
      <c r="F264" s="142"/>
      <c r="G264" s="27" t="s">
        <v>2151</v>
      </c>
      <c r="H264" s="34">
        <f>Gas!D26</f>
        <v>515000</v>
      </c>
      <c r="I264" s="34">
        <f>Gas!E26</f>
        <v>500000</v>
      </c>
      <c r="J264" s="8"/>
    </row>
    <row r="265" spans="1:10" ht="23.1" customHeight="1">
      <c r="A265" s="26"/>
      <c r="B265" s="26"/>
      <c r="C265" s="26"/>
      <c r="D265" s="27" t="s">
        <v>956</v>
      </c>
      <c r="E265" s="142" t="s">
        <v>955</v>
      </c>
      <c r="F265" s="142"/>
      <c r="G265" s="27" t="s">
        <v>2151</v>
      </c>
      <c r="H265" s="34">
        <f>Gas!D29</f>
        <v>515000</v>
      </c>
      <c r="I265" s="34">
        <f>Gas!E29</f>
        <v>500000</v>
      </c>
      <c r="J265" s="8"/>
    </row>
    <row r="266" spans="1:10" ht="23.1" customHeight="1">
      <c r="A266" s="26"/>
      <c r="B266" s="26"/>
      <c r="C266" s="26"/>
      <c r="D266" s="27" t="s">
        <v>958</v>
      </c>
      <c r="E266" s="142" t="s">
        <v>957</v>
      </c>
      <c r="F266" s="142"/>
      <c r="G266" s="27" t="s">
        <v>2151</v>
      </c>
      <c r="H266" s="34">
        <f>Gas!D32</f>
        <v>515000</v>
      </c>
      <c r="I266" s="34">
        <f>Gas!E32</f>
        <v>500000</v>
      </c>
      <c r="J266" s="8"/>
    </row>
    <row r="267" spans="1:10" ht="23.1" customHeight="1">
      <c r="A267" s="26"/>
      <c r="B267" s="26"/>
      <c r="C267" s="26"/>
      <c r="D267" s="27" t="s">
        <v>960</v>
      </c>
      <c r="E267" s="142" t="s">
        <v>959</v>
      </c>
      <c r="F267" s="142"/>
      <c r="G267" s="27" t="s">
        <v>2151</v>
      </c>
      <c r="H267" s="34">
        <f>Gas!D35</f>
        <v>515000</v>
      </c>
      <c r="I267" s="34">
        <f>Gas!E35</f>
        <v>500000</v>
      </c>
      <c r="J267" s="8"/>
    </row>
    <row r="268" spans="1:10" ht="23.1" customHeight="1">
      <c r="A268" s="26"/>
      <c r="B268" s="26"/>
      <c r="C268" s="26"/>
      <c r="D268" s="27" t="s">
        <v>962</v>
      </c>
      <c r="E268" s="142" t="s">
        <v>961</v>
      </c>
      <c r="F268" s="142"/>
      <c r="G268" s="27" t="s">
        <v>2151</v>
      </c>
      <c r="H268" s="34">
        <f>Gas!D40</f>
        <v>410000</v>
      </c>
      <c r="I268" s="34">
        <f>Gas!E40</f>
        <v>410000</v>
      </c>
      <c r="J268" s="8"/>
    </row>
    <row r="269" spans="1:10" ht="23.1" customHeight="1">
      <c r="A269" s="26"/>
      <c r="B269" s="26"/>
      <c r="C269" s="26"/>
      <c r="D269" s="27" t="s">
        <v>964</v>
      </c>
      <c r="E269" s="142" t="s">
        <v>963</v>
      </c>
      <c r="F269" s="142"/>
      <c r="G269" s="27" t="s">
        <v>2151</v>
      </c>
      <c r="H269" s="34">
        <f>Gas!D40</f>
        <v>410000</v>
      </c>
      <c r="I269" s="34">
        <f>Gas!E40</f>
        <v>410000</v>
      </c>
      <c r="J269" s="8"/>
    </row>
    <row r="270" spans="1:10" ht="23.1" customHeight="1">
      <c r="A270" s="26"/>
      <c r="B270" s="26"/>
      <c r="C270" s="26"/>
      <c r="D270" s="27" t="s">
        <v>966</v>
      </c>
      <c r="E270" s="142" t="s">
        <v>965</v>
      </c>
      <c r="F270" s="142"/>
      <c r="G270" s="27" t="s">
        <v>2151</v>
      </c>
      <c r="H270" s="34">
        <f>Gas!D44</f>
        <v>1650000</v>
      </c>
      <c r="I270" s="34">
        <f>Gas!E44</f>
        <v>0</v>
      </c>
      <c r="J270" s="8"/>
    </row>
    <row r="271" spans="1:10" ht="23.1" customHeight="1">
      <c r="A271" s="26"/>
      <c r="B271" s="26"/>
      <c r="C271" s="26"/>
      <c r="D271" s="27" t="s">
        <v>968</v>
      </c>
      <c r="E271" s="142" t="s">
        <v>967</v>
      </c>
      <c r="F271" s="142"/>
      <c r="G271" s="27" t="s">
        <v>2151</v>
      </c>
      <c r="H271" s="34">
        <f>Gas!D147</f>
        <v>66000</v>
      </c>
      <c r="I271" s="34">
        <f>Gas!E147</f>
        <v>66000</v>
      </c>
      <c r="J271" s="8"/>
    </row>
    <row r="272" spans="1:10" ht="23.1" customHeight="1">
      <c r="A272" s="26"/>
      <c r="B272" s="26"/>
      <c r="C272" s="26"/>
      <c r="D272" s="27" t="s">
        <v>970</v>
      </c>
      <c r="E272" s="142" t="s">
        <v>969</v>
      </c>
      <c r="F272" s="142"/>
      <c r="G272" s="27" t="s">
        <v>2151</v>
      </c>
      <c r="H272" s="34">
        <f>Gas!D148</f>
        <v>66000</v>
      </c>
      <c r="I272" s="34">
        <f>Gas!E148</f>
        <v>66000</v>
      </c>
      <c r="J272" s="8"/>
    </row>
    <row r="273" spans="1:10" ht="23.1" customHeight="1">
      <c r="A273" s="26"/>
      <c r="B273" s="26"/>
      <c r="C273" s="26"/>
      <c r="D273" s="27" t="s">
        <v>972</v>
      </c>
      <c r="E273" s="142" t="s">
        <v>971</v>
      </c>
      <c r="F273" s="142"/>
      <c r="G273" s="27" t="s">
        <v>2151</v>
      </c>
      <c r="H273" s="34">
        <f>Gas!D147</f>
        <v>66000</v>
      </c>
      <c r="I273" s="34">
        <f>Gas!E147</f>
        <v>66000</v>
      </c>
      <c r="J273" s="8"/>
    </row>
    <row r="274" spans="1:10" ht="23.1" customHeight="1">
      <c r="A274" s="26"/>
      <c r="B274" s="26"/>
      <c r="C274" s="26"/>
      <c r="D274" s="27" t="s">
        <v>974</v>
      </c>
      <c r="E274" s="142" t="s">
        <v>973</v>
      </c>
      <c r="F274" s="142"/>
      <c r="G274" s="27" t="s">
        <v>2151</v>
      </c>
      <c r="H274" s="34">
        <f>Gas!D43</f>
        <v>850000</v>
      </c>
      <c r="I274" s="34">
        <f>Gas!E43</f>
        <v>0</v>
      </c>
      <c r="J274" s="8"/>
    </row>
    <row r="275" spans="1:10" ht="23.1" customHeight="1">
      <c r="A275" s="26"/>
      <c r="B275" s="26"/>
      <c r="C275" s="26"/>
      <c r="D275" s="27" t="s">
        <v>976</v>
      </c>
      <c r="E275" s="142" t="s">
        <v>975</v>
      </c>
      <c r="F275" s="142"/>
      <c r="G275" s="27" t="s">
        <v>2151</v>
      </c>
      <c r="H275" s="34">
        <f>Gas!D146</f>
        <v>150000</v>
      </c>
      <c r="I275" s="34">
        <f>Gas!E146</f>
        <v>175000</v>
      </c>
      <c r="J275" s="8"/>
    </row>
    <row r="276" spans="1:10" ht="23.1" customHeight="1">
      <c r="A276" s="26"/>
      <c r="B276" s="26"/>
      <c r="C276" s="26"/>
      <c r="D276" s="27" t="s">
        <v>978</v>
      </c>
      <c r="E276" s="142" t="s">
        <v>977</v>
      </c>
      <c r="F276" s="142"/>
      <c r="G276" s="27" t="s">
        <v>2151</v>
      </c>
      <c r="H276" s="34">
        <f>Gas!D7</f>
        <v>340000</v>
      </c>
      <c r="I276" s="34">
        <f>Gas!E7</f>
        <v>370000</v>
      </c>
      <c r="J276" s="8"/>
    </row>
    <row r="277" spans="1:10" ht="23.1" customHeight="1">
      <c r="A277" s="26"/>
      <c r="B277" s="26"/>
      <c r="C277" s="26"/>
      <c r="D277" s="27" t="s">
        <v>980</v>
      </c>
      <c r="E277" s="142" t="s">
        <v>979</v>
      </c>
      <c r="F277" s="142"/>
      <c r="G277" s="27" t="s">
        <v>2151</v>
      </c>
      <c r="H277" s="34"/>
      <c r="I277" s="34"/>
      <c r="J277" s="8"/>
    </row>
    <row r="278" spans="1:10" ht="23.1" customHeight="1">
      <c r="A278" s="26"/>
      <c r="B278" s="26"/>
      <c r="C278" s="26"/>
      <c r="D278" s="27" t="s">
        <v>982</v>
      </c>
      <c r="E278" s="142" t="s">
        <v>981</v>
      </c>
      <c r="F278" s="142"/>
      <c r="G278" s="27" t="s">
        <v>2151</v>
      </c>
      <c r="H278" s="34">
        <f>Gas!D11</f>
        <v>550000</v>
      </c>
      <c r="I278" s="34">
        <f>Gas!E11</f>
        <v>550000</v>
      </c>
      <c r="J278" s="8"/>
    </row>
    <row r="279" spans="1:10" ht="20.100000000000001" customHeight="1">
      <c r="A279" s="26"/>
      <c r="B279" s="26"/>
      <c r="C279" s="26"/>
      <c r="D279" s="27" t="s">
        <v>984</v>
      </c>
      <c r="E279" s="142" t="s">
        <v>983</v>
      </c>
      <c r="F279" s="142"/>
      <c r="G279" s="27" t="s">
        <v>2151</v>
      </c>
      <c r="H279" s="34">
        <f>Gas!D12</f>
        <v>775000</v>
      </c>
      <c r="I279" s="34">
        <f>Gas!E12</f>
        <v>775000</v>
      </c>
      <c r="J279" s="8"/>
    </row>
    <row r="280" spans="1:10" ht="23.1" customHeight="1">
      <c r="A280" s="26"/>
      <c r="B280" s="26"/>
      <c r="C280" s="26"/>
      <c r="D280" s="27" t="s">
        <v>986</v>
      </c>
      <c r="E280" s="142" t="s">
        <v>985</v>
      </c>
      <c r="F280" s="142"/>
      <c r="G280" s="27" t="s">
        <v>2151</v>
      </c>
      <c r="H280" s="34">
        <f>Gas!D13</f>
        <v>1000000</v>
      </c>
      <c r="I280" s="34">
        <f>Gas!E13</f>
        <v>1000000</v>
      </c>
      <c r="J280" s="8"/>
    </row>
    <row r="281" spans="1:10" ht="23.1" customHeight="1">
      <c r="A281" s="26"/>
      <c r="B281" s="26"/>
      <c r="C281" s="26"/>
      <c r="D281" s="27" t="s">
        <v>988</v>
      </c>
      <c r="E281" s="142" t="s">
        <v>987</v>
      </c>
      <c r="F281" s="142"/>
      <c r="G281" s="27" t="s">
        <v>2151</v>
      </c>
      <c r="H281" s="34">
        <f>Gas!D14</f>
        <v>600000</v>
      </c>
      <c r="I281" s="34">
        <f>Gas!E14</f>
        <v>600000</v>
      </c>
      <c r="J281" s="8"/>
    </row>
    <row r="282" spans="1:10" ht="23.1" customHeight="1">
      <c r="A282" s="26"/>
      <c r="B282" s="26"/>
      <c r="C282" s="26"/>
      <c r="D282" s="27" t="s">
        <v>990</v>
      </c>
      <c r="E282" s="142" t="s">
        <v>989</v>
      </c>
      <c r="F282" s="142"/>
      <c r="G282" s="27" t="s">
        <v>2151</v>
      </c>
      <c r="H282" s="34">
        <f>Gas!D15</f>
        <v>850000</v>
      </c>
      <c r="I282" s="34">
        <f>Gas!E15</f>
        <v>850000</v>
      </c>
      <c r="J282" s="8"/>
    </row>
    <row r="283" spans="1:10" ht="23.1" customHeight="1">
      <c r="A283" s="26"/>
      <c r="B283" s="26"/>
      <c r="C283" s="26"/>
      <c r="D283" s="27" t="s">
        <v>992</v>
      </c>
      <c r="E283" s="142" t="s">
        <v>991</v>
      </c>
      <c r="F283" s="142"/>
      <c r="G283" s="27" t="s">
        <v>2151</v>
      </c>
      <c r="H283" s="34">
        <f>Gas!D17</f>
        <v>1600000</v>
      </c>
      <c r="I283" s="34">
        <f>Gas!E17</f>
        <v>1600000</v>
      </c>
      <c r="J283" s="8"/>
    </row>
    <row r="284" spans="1:10" ht="23.1" customHeight="1">
      <c r="A284" s="26"/>
      <c r="B284" s="26"/>
      <c r="C284" s="26"/>
      <c r="D284" s="27" t="s">
        <v>994</v>
      </c>
      <c r="E284" s="142" t="s">
        <v>993</v>
      </c>
      <c r="F284" s="142"/>
      <c r="G284" s="27" t="s">
        <v>2151</v>
      </c>
      <c r="H284" s="34">
        <f>Gas!D18</f>
        <v>385000</v>
      </c>
      <c r="I284" s="34">
        <f>Gas!E18</f>
        <v>520000</v>
      </c>
      <c r="J284" s="8"/>
    </row>
    <row r="285" spans="1:10" ht="23.1" customHeight="1">
      <c r="A285" s="26"/>
      <c r="B285" s="26"/>
      <c r="C285" s="26"/>
      <c r="D285" s="27" t="s">
        <v>996</v>
      </c>
      <c r="E285" s="142" t="s">
        <v>995</v>
      </c>
      <c r="F285" s="142"/>
      <c r="G285" s="27" t="s">
        <v>2151</v>
      </c>
      <c r="H285" s="34">
        <f>Gas!D19</f>
        <v>425000</v>
      </c>
      <c r="I285" s="34">
        <f>Gas!E19</f>
        <v>557500</v>
      </c>
      <c r="J285" s="8"/>
    </row>
    <row r="286" spans="1:10" ht="23.1" customHeight="1">
      <c r="A286" s="26"/>
      <c r="B286" s="26"/>
      <c r="C286" s="26"/>
      <c r="D286" s="27" t="s">
        <v>998</v>
      </c>
      <c r="E286" s="142" t="s">
        <v>997</v>
      </c>
      <c r="F286" s="142"/>
      <c r="G286" s="27" t="s">
        <v>2151</v>
      </c>
      <c r="H286" s="34">
        <f>Gas!D20</f>
        <v>580000</v>
      </c>
      <c r="I286" s="34">
        <f>Gas!E20</f>
        <v>595000</v>
      </c>
      <c r="J286" s="8"/>
    </row>
    <row r="287" spans="1:10" ht="23.1" customHeight="1">
      <c r="A287" s="26"/>
      <c r="B287" s="26"/>
      <c r="C287" s="26"/>
      <c r="D287" s="27" t="s">
        <v>1000</v>
      </c>
      <c r="E287" s="142" t="s">
        <v>999</v>
      </c>
      <c r="F287" s="142"/>
      <c r="G287" s="27" t="s">
        <v>2151</v>
      </c>
      <c r="H287" s="34">
        <f>Gas!D5</f>
        <v>40000</v>
      </c>
      <c r="I287" s="34">
        <f>Gas!E5</f>
        <v>37500</v>
      </c>
      <c r="J287" s="8"/>
    </row>
    <row r="288" spans="1:10" ht="23.1" customHeight="1">
      <c r="A288" s="26"/>
      <c r="B288" s="26"/>
      <c r="C288" s="26"/>
      <c r="D288" s="27" t="s">
        <v>1002</v>
      </c>
      <c r="E288" s="142" t="s">
        <v>1001</v>
      </c>
      <c r="F288" s="142"/>
      <c r="G288" s="27" t="s">
        <v>2151</v>
      </c>
      <c r="H288" s="34">
        <f>Gas!D5*4</f>
        <v>160000</v>
      </c>
      <c r="I288" s="34">
        <f>Gas!E5*4</f>
        <v>150000</v>
      </c>
      <c r="J288" s="8"/>
    </row>
    <row r="289" spans="1:10" ht="23.1" customHeight="1">
      <c r="A289" s="26"/>
      <c r="B289" s="26"/>
      <c r="C289" s="26"/>
      <c r="D289" s="27" t="s">
        <v>1004</v>
      </c>
      <c r="E289" s="142" t="s">
        <v>1003</v>
      </c>
      <c r="F289" s="142"/>
      <c r="G289" s="27" t="s">
        <v>2151</v>
      </c>
      <c r="H289" s="34">
        <f>Gas!D5*6</f>
        <v>240000</v>
      </c>
      <c r="I289" s="34">
        <f>Gas!E5*6</f>
        <v>225000</v>
      </c>
      <c r="J289" s="8"/>
    </row>
    <row r="290" spans="1:10" ht="23.1" customHeight="1">
      <c r="A290" s="26"/>
      <c r="B290" s="26"/>
      <c r="C290" s="26"/>
      <c r="D290" s="27" t="s">
        <v>1006</v>
      </c>
      <c r="E290" s="142" t="s">
        <v>1005</v>
      </c>
      <c r="F290" s="142"/>
      <c r="G290" s="27" t="s">
        <v>2151</v>
      </c>
      <c r="H290" s="34">
        <f>Gas!D85</f>
        <v>99000</v>
      </c>
      <c r="I290" s="34">
        <f>Gas!E85</f>
        <v>125000</v>
      </c>
      <c r="J290" s="8"/>
    </row>
    <row r="291" spans="1:10" ht="23.1" customHeight="1">
      <c r="A291" s="26"/>
      <c r="B291" s="26"/>
      <c r="C291" s="26"/>
      <c r="D291" s="27" t="s">
        <v>1008</v>
      </c>
      <c r="E291" s="142" t="s">
        <v>1007</v>
      </c>
      <c r="F291" s="142"/>
      <c r="G291" s="27" t="s">
        <v>2151</v>
      </c>
      <c r="H291" s="34">
        <f>Gas!D85</f>
        <v>99000</v>
      </c>
      <c r="I291" s="34">
        <f>Gas!E85</f>
        <v>125000</v>
      </c>
      <c r="J291" s="8"/>
    </row>
    <row r="292" spans="1:10" ht="23.1" customHeight="1">
      <c r="A292" s="26"/>
      <c r="B292" s="26"/>
      <c r="C292" s="26"/>
      <c r="D292" s="27" t="s">
        <v>1010</v>
      </c>
      <c r="E292" s="142" t="s">
        <v>1009</v>
      </c>
      <c r="F292" s="142"/>
      <c r="G292" s="27" t="s">
        <v>2151</v>
      </c>
      <c r="H292" s="34">
        <f>Gas!D89</f>
        <v>99000</v>
      </c>
      <c r="I292" s="34">
        <f>Gas!E89</f>
        <v>125000</v>
      </c>
      <c r="J292" s="8"/>
    </row>
    <row r="293" spans="1:10" ht="23.1" customHeight="1">
      <c r="A293" s="26"/>
      <c r="B293" s="26"/>
      <c r="C293" s="26"/>
      <c r="D293" s="27" t="s">
        <v>1012</v>
      </c>
      <c r="E293" s="142" t="s">
        <v>1011</v>
      </c>
      <c r="F293" s="142"/>
      <c r="G293" s="27" t="s">
        <v>2151</v>
      </c>
      <c r="H293" s="34">
        <f>Gas!D97</f>
        <v>125000</v>
      </c>
      <c r="I293" s="34">
        <f>Gas!E97</f>
        <v>150000</v>
      </c>
      <c r="J293" s="8"/>
    </row>
    <row r="294" spans="1:10" ht="23.1" customHeight="1">
      <c r="A294" s="26"/>
      <c r="B294" s="26"/>
      <c r="C294" s="26"/>
      <c r="D294" s="27" t="s">
        <v>1014</v>
      </c>
      <c r="E294" s="142" t="s">
        <v>1013</v>
      </c>
      <c r="F294" s="142"/>
      <c r="G294" s="27" t="s">
        <v>2151</v>
      </c>
      <c r="H294" s="34">
        <f>Gas!D100</f>
        <v>175000</v>
      </c>
      <c r="I294" s="34">
        <f>Gas!E100</f>
        <v>220000</v>
      </c>
      <c r="J294" s="8"/>
    </row>
    <row r="295" spans="1:10" ht="23.1" customHeight="1">
      <c r="A295" s="26"/>
      <c r="B295" s="26"/>
      <c r="C295" s="26"/>
      <c r="D295" s="27" t="s">
        <v>1016</v>
      </c>
      <c r="E295" s="142" t="s">
        <v>1015</v>
      </c>
      <c r="F295" s="142"/>
      <c r="G295" s="27" t="s">
        <v>2151</v>
      </c>
      <c r="H295" s="34">
        <f>Gas!D104</f>
        <v>375000</v>
      </c>
      <c r="I295" s="34">
        <f>Gas!E104</f>
        <v>375000</v>
      </c>
      <c r="J295" s="8"/>
    </row>
    <row r="296" spans="1:10" ht="23.1" customHeight="1">
      <c r="A296" s="26"/>
      <c r="B296" s="26"/>
      <c r="C296" s="26"/>
      <c r="D296" s="27" t="s">
        <v>1018</v>
      </c>
      <c r="E296" s="142" t="s">
        <v>1017</v>
      </c>
      <c r="F296" s="142"/>
      <c r="G296" s="27" t="s">
        <v>2151</v>
      </c>
      <c r="H296" s="34">
        <f>Gas!D91</f>
        <v>0</v>
      </c>
      <c r="I296" s="34">
        <f>Gas!E91</f>
        <v>0</v>
      </c>
      <c r="J296" s="8"/>
    </row>
    <row r="297" spans="1:10" ht="23.1" customHeight="1">
      <c r="A297" s="26"/>
      <c r="B297" s="26"/>
      <c r="C297" s="26"/>
      <c r="D297" s="27" t="s">
        <v>1020</v>
      </c>
      <c r="E297" s="142" t="s">
        <v>1019</v>
      </c>
      <c r="F297" s="142"/>
      <c r="G297" s="27" t="s">
        <v>2151</v>
      </c>
      <c r="H297" s="34">
        <f>Gas!D87</f>
        <v>0</v>
      </c>
      <c r="I297" s="34">
        <f>Gas!E87</f>
        <v>0</v>
      </c>
      <c r="J297" s="8"/>
    </row>
    <row r="298" spans="1:10" ht="23.1" customHeight="1">
      <c r="A298" s="26"/>
      <c r="B298" s="26"/>
      <c r="C298" s="26"/>
      <c r="D298" s="27" t="s">
        <v>1022</v>
      </c>
      <c r="E298" s="142" t="s">
        <v>1021</v>
      </c>
      <c r="F298" s="142"/>
      <c r="G298" s="27" t="s">
        <v>2151</v>
      </c>
      <c r="H298" s="34">
        <f>Gas!D95</f>
        <v>0</v>
      </c>
      <c r="I298" s="34">
        <f>Gas!E95</f>
        <v>0</v>
      </c>
      <c r="J298" s="8"/>
    </row>
    <row r="299" spans="1:10" ht="23.1" customHeight="1">
      <c r="A299" s="26"/>
      <c r="B299" s="26"/>
      <c r="C299" s="26"/>
      <c r="D299" s="27" t="s">
        <v>1024</v>
      </c>
      <c r="E299" s="142" t="s">
        <v>1023</v>
      </c>
      <c r="F299" s="142"/>
      <c r="G299" s="27" t="s">
        <v>2151</v>
      </c>
      <c r="H299" s="34">
        <f>Gas!D90</f>
        <v>0</v>
      </c>
      <c r="I299" s="34">
        <f>Gas!E90</f>
        <v>0</v>
      </c>
      <c r="J299" s="8"/>
    </row>
    <row r="300" spans="1:10" ht="23.1" customHeight="1">
      <c r="A300" s="26"/>
      <c r="B300" s="26"/>
      <c r="C300" s="26"/>
      <c r="D300" s="27" t="s">
        <v>1026</v>
      </c>
      <c r="E300" s="142" t="s">
        <v>1025</v>
      </c>
      <c r="F300" s="142"/>
      <c r="G300" s="27" t="s">
        <v>2151</v>
      </c>
      <c r="H300" s="34">
        <f>Gas!D98</f>
        <v>0</v>
      </c>
      <c r="I300" s="34">
        <f>Gas!E98</f>
        <v>0</v>
      </c>
      <c r="J300" s="8"/>
    </row>
    <row r="301" spans="1:10" ht="23.1" customHeight="1">
      <c r="A301" s="26"/>
      <c r="B301" s="26"/>
      <c r="C301" s="26"/>
      <c r="D301" s="27" t="s">
        <v>1028</v>
      </c>
      <c r="E301" s="142" t="s">
        <v>1027</v>
      </c>
      <c r="F301" s="142"/>
      <c r="G301" s="27" t="s">
        <v>2151</v>
      </c>
      <c r="H301" s="34">
        <f>Gas!D101</f>
        <v>475000</v>
      </c>
      <c r="I301" s="34">
        <f>Gas!E101</f>
        <v>360000</v>
      </c>
      <c r="J301" s="8"/>
    </row>
    <row r="302" spans="1:10" ht="23.1" customHeight="1">
      <c r="A302" s="26"/>
      <c r="B302" s="26"/>
      <c r="C302" s="26"/>
      <c r="D302" s="27" t="s">
        <v>1030</v>
      </c>
      <c r="E302" s="142" t="s">
        <v>1029</v>
      </c>
      <c r="F302" s="142"/>
      <c r="G302" s="27" t="s">
        <v>2151</v>
      </c>
      <c r="H302" s="34">
        <f>Gas!D104</f>
        <v>375000</v>
      </c>
      <c r="I302" s="34">
        <f>Gas!E104</f>
        <v>375000</v>
      </c>
      <c r="J302" s="8"/>
    </row>
    <row r="303" spans="1:10" ht="23.1" customHeight="1">
      <c r="A303" s="26"/>
      <c r="B303" s="26"/>
      <c r="C303" s="26"/>
      <c r="D303" s="27" t="s">
        <v>1032</v>
      </c>
      <c r="E303" s="142" t="s">
        <v>1031</v>
      </c>
      <c r="F303" s="142"/>
      <c r="G303" s="27" t="s">
        <v>2151</v>
      </c>
      <c r="H303" s="34">
        <f>Gas!D76</f>
        <v>0</v>
      </c>
      <c r="I303" s="34">
        <f>Gas!E76</f>
        <v>0</v>
      </c>
      <c r="J303" s="8"/>
    </row>
    <row r="304" spans="1:10" ht="23.1" customHeight="1">
      <c r="A304" s="26"/>
      <c r="B304" s="26"/>
      <c r="C304" s="26"/>
      <c r="D304" s="27" t="s">
        <v>1034</v>
      </c>
      <c r="E304" s="142" t="s">
        <v>1033</v>
      </c>
      <c r="F304" s="142"/>
      <c r="G304" s="27" t="s">
        <v>2151</v>
      </c>
      <c r="H304" s="34">
        <f>Gas!D77</f>
        <v>0</v>
      </c>
      <c r="I304" s="34">
        <f>Gas!E77</f>
        <v>0</v>
      </c>
      <c r="J304" s="8"/>
    </row>
    <row r="305" spans="1:10" ht="23.1" customHeight="1">
      <c r="A305" s="26"/>
      <c r="B305" s="26"/>
      <c r="C305" s="26"/>
      <c r="D305" s="27" t="s">
        <v>1036</v>
      </c>
      <c r="E305" s="142" t="s">
        <v>1035</v>
      </c>
      <c r="F305" s="142"/>
      <c r="G305" s="27" t="s">
        <v>2151</v>
      </c>
      <c r="H305" s="34">
        <f>Gas!D80</f>
        <v>0</v>
      </c>
      <c r="I305" s="34">
        <f>Gas!E80</f>
        <v>0</v>
      </c>
      <c r="J305" s="8"/>
    </row>
    <row r="306" spans="1:10" ht="23.1" customHeight="1">
      <c r="A306" s="26"/>
      <c r="B306" s="26"/>
      <c r="C306" s="26"/>
      <c r="D306" s="27" t="s">
        <v>1038</v>
      </c>
      <c r="E306" s="142" t="s">
        <v>1037</v>
      </c>
      <c r="F306" s="142"/>
      <c r="G306" s="27" t="s">
        <v>2151</v>
      </c>
      <c r="H306" s="34">
        <f>Gas!D81</f>
        <v>0</v>
      </c>
      <c r="I306" s="34">
        <f>Gas!E81</f>
        <v>0</v>
      </c>
      <c r="J306" s="8"/>
    </row>
    <row r="307" spans="1:10" ht="23.1" customHeight="1">
      <c r="A307" s="26"/>
      <c r="B307" s="26"/>
      <c r="C307" s="26"/>
      <c r="D307" s="27" t="s">
        <v>1040</v>
      </c>
      <c r="E307" s="142" t="s">
        <v>1039</v>
      </c>
      <c r="F307" s="142"/>
      <c r="G307" s="27" t="s">
        <v>2151</v>
      </c>
      <c r="H307" s="34">
        <f>Gas!D82</f>
        <v>6000000</v>
      </c>
      <c r="I307" s="34">
        <f>Gas!E82</f>
        <v>0</v>
      </c>
      <c r="J307" s="8"/>
    </row>
    <row r="308" spans="1:10" ht="23.1" customHeight="1">
      <c r="A308" s="26"/>
      <c r="B308" s="26"/>
      <c r="C308" s="26"/>
      <c r="D308" s="27" t="s">
        <v>1042</v>
      </c>
      <c r="E308" s="142" t="s">
        <v>1041</v>
      </c>
      <c r="F308" s="142"/>
      <c r="G308" s="27" t="s">
        <v>2151</v>
      </c>
      <c r="H308" s="34">
        <f>Gas!D83</f>
        <v>0</v>
      </c>
      <c r="I308" s="34">
        <f>Gas!E83</f>
        <v>0</v>
      </c>
      <c r="J308" s="8"/>
    </row>
    <row r="309" spans="1:10" ht="23.1" customHeight="1">
      <c r="A309" s="26"/>
      <c r="B309" s="26"/>
      <c r="C309" s="26"/>
      <c r="D309" s="27" t="s">
        <v>1044</v>
      </c>
      <c r="E309" s="142" t="s">
        <v>1043</v>
      </c>
      <c r="F309" s="142"/>
      <c r="G309" s="27" t="s">
        <v>2151</v>
      </c>
      <c r="H309" s="34">
        <f>Gas!D92</f>
        <v>1650000</v>
      </c>
      <c r="I309" s="34">
        <f>Gas!E92</f>
        <v>0</v>
      </c>
      <c r="J309" s="8"/>
    </row>
    <row r="310" spans="1:10" ht="23.1" customHeight="1">
      <c r="A310" s="26"/>
      <c r="B310" s="26"/>
      <c r="C310" s="26"/>
      <c r="D310" s="27" t="s">
        <v>1046</v>
      </c>
      <c r="E310" s="142" t="s">
        <v>1045</v>
      </c>
      <c r="F310" s="142"/>
      <c r="G310" s="27" t="s">
        <v>2151</v>
      </c>
      <c r="H310" s="34">
        <f>Gas!D93</f>
        <v>0</v>
      </c>
      <c r="I310" s="34">
        <f>Gas!E93</f>
        <v>0</v>
      </c>
      <c r="J310" s="8"/>
    </row>
    <row r="311" spans="1:10" ht="23.1" customHeight="1">
      <c r="A311" s="26"/>
      <c r="B311" s="26"/>
      <c r="C311" s="26"/>
      <c r="D311" s="27" t="s">
        <v>1068</v>
      </c>
      <c r="E311" s="142" t="s">
        <v>1067</v>
      </c>
      <c r="F311" s="142"/>
      <c r="G311" s="27" t="s">
        <v>2151</v>
      </c>
      <c r="H311" s="34">
        <f>Gas!D102</f>
        <v>650000</v>
      </c>
      <c r="I311" s="34">
        <f>Gas!E102</f>
        <v>650000</v>
      </c>
      <c r="J311" s="8"/>
    </row>
    <row r="312" spans="1:10" ht="23.1" customHeight="1">
      <c r="A312" s="26"/>
      <c r="B312" s="26"/>
      <c r="C312" s="26"/>
      <c r="D312" s="27" t="s">
        <v>1090</v>
      </c>
      <c r="E312" s="142" t="s">
        <v>1089</v>
      </c>
      <c r="F312" s="142"/>
      <c r="G312" s="27" t="s">
        <v>2151</v>
      </c>
      <c r="H312" s="34">
        <f>Gas!D102</f>
        <v>650000</v>
      </c>
      <c r="I312" s="34">
        <f>Gas!E102</f>
        <v>650000</v>
      </c>
      <c r="J312" s="37"/>
    </row>
    <row r="313" spans="1:10" ht="23.1" customHeight="1">
      <c r="A313" s="26"/>
      <c r="B313" s="26"/>
      <c r="C313" s="26"/>
      <c r="D313" s="27" t="s">
        <v>2115</v>
      </c>
      <c r="E313" s="142" t="s">
        <v>2346</v>
      </c>
      <c r="F313" s="142"/>
      <c r="G313" s="27" t="s">
        <v>2151</v>
      </c>
      <c r="H313" s="34">
        <f>Gas!D69</f>
        <v>168750</v>
      </c>
      <c r="I313" s="34">
        <f>Gas!E69</f>
        <v>162500</v>
      </c>
      <c r="J313" s="37"/>
    </row>
    <row r="314" spans="1:10" ht="23.1" customHeight="1">
      <c r="A314" s="26"/>
      <c r="B314" s="26"/>
      <c r="C314" s="26"/>
      <c r="D314" s="27" t="s">
        <v>2109</v>
      </c>
      <c r="E314" s="142" t="s">
        <v>2345</v>
      </c>
      <c r="F314" s="142"/>
      <c r="G314" s="27" t="s">
        <v>2151</v>
      </c>
      <c r="H314" s="34">
        <f>Gas!D37</f>
        <v>140000</v>
      </c>
      <c r="I314" s="34">
        <f>Gas!E37</f>
        <v>170000</v>
      </c>
      <c r="J314" s="37"/>
    </row>
    <row r="315" spans="1:10" ht="23.1" customHeight="1">
      <c r="A315" s="26"/>
      <c r="B315" s="26"/>
      <c r="C315" s="26"/>
      <c r="D315" s="27" t="s">
        <v>2121</v>
      </c>
      <c r="E315" s="142" t="s">
        <v>2344</v>
      </c>
      <c r="F315" s="142"/>
      <c r="G315" s="27" t="s">
        <v>2151</v>
      </c>
      <c r="H315" s="34">
        <f>Gas!D101</f>
        <v>475000</v>
      </c>
      <c r="I315" s="34">
        <f>Gas!E101</f>
        <v>360000</v>
      </c>
      <c r="J315" s="37"/>
    </row>
    <row r="316" spans="1:10" ht="23.1" customHeight="1">
      <c r="A316" s="26"/>
      <c r="B316" s="26"/>
      <c r="C316" s="26"/>
      <c r="D316" s="27" t="s">
        <v>2117</v>
      </c>
      <c r="E316" s="142" t="s">
        <v>2343</v>
      </c>
      <c r="F316" s="142"/>
      <c r="G316" s="27" t="s">
        <v>2151</v>
      </c>
      <c r="H316" s="34">
        <f>Gas!D55</f>
        <v>60000</v>
      </c>
      <c r="I316" s="34">
        <f>Gas!E55</f>
        <v>60000</v>
      </c>
      <c r="J316" s="37"/>
    </row>
    <row r="317" spans="1:10" ht="23.1" customHeight="1">
      <c r="A317" s="26"/>
      <c r="B317" s="26"/>
      <c r="C317" s="26"/>
      <c r="D317" s="27" t="s">
        <v>2119</v>
      </c>
      <c r="E317" s="142" t="s">
        <v>2342</v>
      </c>
      <c r="F317" s="142"/>
      <c r="G317" s="27" t="s">
        <v>2151</v>
      </c>
      <c r="H317" s="34">
        <f>Gas!D82</f>
        <v>6000000</v>
      </c>
      <c r="I317" s="34">
        <f>Gas!E82</f>
        <v>0</v>
      </c>
      <c r="J317" s="37"/>
    </row>
    <row r="318" spans="1:10" ht="23.1" customHeight="1">
      <c r="A318" s="26"/>
      <c r="B318" s="26"/>
      <c r="C318" s="26"/>
      <c r="D318" s="27" t="s">
        <v>2140</v>
      </c>
      <c r="E318" s="142" t="s">
        <v>2341</v>
      </c>
      <c r="F318" s="142"/>
      <c r="G318" s="27" t="s">
        <v>2151</v>
      </c>
      <c r="H318" s="34">
        <f>Gas!D49</f>
        <v>50000</v>
      </c>
      <c r="I318" s="34">
        <f>Gas!E49</f>
        <v>60000</v>
      </c>
      <c r="J318" s="37"/>
    </row>
    <row r="319" spans="1:10" ht="23.1" customHeight="1">
      <c r="A319" s="26"/>
      <c r="B319" s="26"/>
      <c r="C319" s="26"/>
      <c r="D319" s="27" t="s">
        <v>2130</v>
      </c>
      <c r="E319" s="142" t="s">
        <v>2340</v>
      </c>
      <c r="F319" s="142"/>
      <c r="G319" s="27" t="s">
        <v>2151</v>
      </c>
      <c r="H319" s="34">
        <f>Gas!D124</f>
        <v>3000000</v>
      </c>
      <c r="I319" s="34">
        <f>Gas!E124</f>
        <v>3000000</v>
      </c>
      <c r="J319" s="37"/>
    </row>
    <row r="320" spans="1:10" ht="23.1" customHeight="1">
      <c r="A320" s="26"/>
      <c r="B320" s="26"/>
      <c r="C320" s="26"/>
      <c r="D320" s="27" t="s">
        <v>2103</v>
      </c>
      <c r="E320" s="142" t="s">
        <v>2339</v>
      </c>
      <c r="F320" s="142"/>
      <c r="G320" s="27" t="s">
        <v>2151</v>
      </c>
      <c r="H320" s="34">
        <f>Gas!D27</f>
        <v>65000</v>
      </c>
      <c r="I320" s="34">
        <f>Gas!E27</f>
        <v>90000</v>
      </c>
      <c r="J320" s="37"/>
    </row>
    <row r="321" spans="1:10" ht="23.1" customHeight="1">
      <c r="A321" s="26"/>
      <c r="B321" s="26"/>
      <c r="C321" s="26"/>
      <c r="D321" s="27" t="s">
        <v>2105</v>
      </c>
      <c r="E321" s="142" t="s">
        <v>2338</v>
      </c>
      <c r="F321" s="142"/>
      <c r="G321" s="27" t="s">
        <v>2151</v>
      </c>
      <c r="H321" s="34">
        <f>Gas!D30</f>
        <v>85000</v>
      </c>
      <c r="I321" s="34">
        <f>Gas!E30</f>
        <v>120000</v>
      </c>
      <c r="J321" s="37"/>
    </row>
    <row r="322" spans="1:10" ht="23.1" customHeight="1">
      <c r="A322" s="26"/>
      <c r="B322" s="26"/>
      <c r="C322" s="26"/>
      <c r="D322" s="27" t="s">
        <v>2097</v>
      </c>
      <c r="E322" s="142" t="s">
        <v>2337</v>
      </c>
      <c r="F322" s="142"/>
      <c r="G322" s="27" t="s">
        <v>2151</v>
      </c>
      <c r="H322" s="34">
        <f>Gas!D39</f>
        <v>245000</v>
      </c>
      <c r="I322" s="34">
        <f>Gas!E39</f>
        <v>245000</v>
      </c>
      <c r="J322" s="37"/>
    </row>
    <row r="323" spans="1:10" ht="23.1" customHeight="1">
      <c r="A323" s="26"/>
      <c r="B323" s="26"/>
      <c r="C323" s="26"/>
      <c r="D323" s="27" t="s">
        <v>2132</v>
      </c>
      <c r="E323" s="142" t="s">
        <v>2336</v>
      </c>
      <c r="F323" s="142"/>
      <c r="G323" s="27" t="s">
        <v>2151</v>
      </c>
      <c r="H323" s="34">
        <f>Gas!D142</f>
        <v>50000</v>
      </c>
      <c r="I323" s="34">
        <f>Gas!E142</f>
        <v>135000</v>
      </c>
      <c r="J323" s="37"/>
    </row>
    <row r="324" spans="1:10" ht="23.1" customHeight="1">
      <c r="A324" s="26"/>
      <c r="B324" s="26"/>
      <c r="C324" s="26"/>
      <c r="D324" s="27" t="s">
        <v>1060</v>
      </c>
      <c r="E324" s="142" t="s">
        <v>1061</v>
      </c>
      <c r="F324" s="142"/>
      <c r="G324" s="27" t="s">
        <v>2151</v>
      </c>
      <c r="H324" s="34">
        <f>Gas!D111</f>
        <v>35000</v>
      </c>
      <c r="I324" s="34">
        <f>Gas!E111</f>
        <v>40000</v>
      </c>
      <c r="J324" s="37"/>
    </row>
    <row r="325" spans="1:10" ht="23.1" customHeight="1">
      <c r="A325" s="26"/>
      <c r="B325" s="26"/>
      <c r="C325" s="26"/>
      <c r="D325" s="27" t="s">
        <v>1062</v>
      </c>
      <c r="E325" s="142" t="s">
        <v>1063</v>
      </c>
      <c r="F325" s="142"/>
      <c r="G325" s="27" t="s">
        <v>2151</v>
      </c>
      <c r="H325" s="34">
        <f>Gas!D112</f>
        <v>40000</v>
      </c>
      <c r="I325" s="34">
        <f>Gas!E112</f>
        <v>40000</v>
      </c>
      <c r="J325" s="37"/>
    </row>
    <row r="326" spans="1:10" ht="23.1" customHeight="1">
      <c r="A326" s="26"/>
      <c r="B326" s="26"/>
      <c r="C326" s="26"/>
      <c r="D326" s="27" t="s">
        <v>2335</v>
      </c>
      <c r="E326" s="142" t="s">
        <v>2334</v>
      </c>
      <c r="F326" s="142"/>
      <c r="G326" s="27" t="s">
        <v>2151</v>
      </c>
      <c r="H326" s="34">
        <f>Gas!D5*2</f>
        <v>80000</v>
      </c>
      <c r="I326" s="34">
        <f>Gas!E5*2</f>
        <v>75000</v>
      </c>
      <c r="J326" s="37"/>
    </row>
    <row r="327" spans="1:10" ht="23.1" customHeight="1">
      <c r="A327" s="26"/>
      <c r="B327" s="26"/>
      <c r="C327" s="26"/>
      <c r="D327" s="27" t="s">
        <v>1795</v>
      </c>
      <c r="E327" s="142" t="s">
        <v>129</v>
      </c>
      <c r="F327" s="142"/>
      <c r="G327" s="27" t="s">
        <v>2151</v>
      </c>
      <c r="H327" s="34">
        <f>Gas!D128</f>
        <v>17000</v>
      </c>
      <c r="I327" s="34">
        <f>Gas!E128</f>
        <v>17000</v>
      </c>
      <c r="J327" s="37"/>
    </row>
    <row r="328" spans="1:10" ht="23.1" customHeight="1">
      <c r="A328" s="26"/>
      <c r="B328" s="26"/>
      <c r="C328" s="26"/>
      <c r="D328" s="27" t="s">
        <v>1793</v>
      </c>
      <c r="E328" s="142" t="s">
        <v>128</v>
      </c>
      <c r="F328" s="142"/>
      <c r="G328" s="27" t="s">
        <v>2151</v>
      </c>
      <c r="H328" s="34">
        <f>Gas!D127</f>
        <v>17000</v>
      </c>
      <c r="I328" s="34">
        <f>Gas!E127</f>
        <v>17000</v>
      </c>
      <c r="J328" s="37"/>
    </row>
    <row r="329" spans="1:10" ht="23.1" customHeight="1">
      <c r="A329" s="26"/>
      <c r="B329" s="26"/>
      <c r="C329" s="26"/>
      <c r="D329" s="27" t="s">
        <v>1797</v>
      </c>
      <c r="E329" s="142" t="s">
        <v>2333</v>
      </c>
      <c r="F329" s="142"/>
      <c r="G329" s="27" t="s">
        <v>2151</v>
      </c>
      <c r="H329" s="34"/>
      <c r="I329" s="34"/>
      <c r="J329" s="37"/>
    </row>
    <row r="330" spans="1:10" ht="23.1" customHeight="1">
      <c r="A330" s="26"/>
      <c r="B330" s="26"/>
      <c r="C330" s="26"/>
      <c r="D330" s="27" t="s">
        <v>1799</v>
      </c>
      <c r="E330" s="142" t="s">
        <v>1798</v>
      </c>
      <c r="F330" s="142"/>
      <c r="G330" s="27" t="s">
        <v>2151</v>
      </c>
      <c r="H330" s="34"/>
      <c r="I330" s="34"/>
      <c r="J330" s="37"/>
    </row>
    <row r="331" spans="1:10" ht="23.1" customHeight="1">
      <c r="A331" s="26"/>
      <c r="B331" s="26"/>
      <c r="C331" s="26"/>
      <c r="D331" s="27" t="s">
        <v>1801</v>
      </c>
      <c r="E331" s="142" t="s">
        <v>1800</v>
      </c>
      <c r="F331" s="142"/>
      <c r="G331" s="27" t="s">
        <v>2151</v>
      </c>
      <c r="H331" s="34"/>
      <c r="I331" s="34"/>
      <c r="J331" s="37"/>
    </row>
    <row r="332" spans="1:10" ht="23.1" customHeight="1">
      <c r="A332" s="26"/>
      <c r="B332" s="26"/>
      <c r="C332" s="26"/>
      <c r="D332" s="27" t="s">
        <v>1803</v>
      </c>
      <c r="E332" s="142" t="s">
        <v>130</v>
      </c>
      <c r="F332" s="142"/>
      <c r="G332" s="27" t="s">
        <v>2151</v>
      </c>
      <c r="H332" s="34">
        <f>Gas!D130</f>
        <v>22500</v>
      </c>
      <c r="I332" s="34">
        <f>Gas!E130</f>
        <v>22500</v>
      </c>
      <c r="J332" s="37"/>
    </row>
    <row r="333" spans="1:10" ht="23.1" customHeight="1">
      <c r="A333" s="26"/>
      <c r="B333" s="26"/>
      <c r="C333" s="26"/>
      <c r="D333" s="27" t="s">
        <v>1805</v>
      </c>
      <c r="E333" s="142" t="s">
        <v>131</v>
      </c>
      <c r="F333" s="142"/>
      <c r="G333" s="27" t="s">
        <v>2151</v>
      </c>
      <c r="H333" s="34">
        <f>Gas!D131</f>
        <v>22500</v>
      </c>
      <c r="I333" s="34">
        <f>Gas!E131</f>
        <v>22500</v>
      </c>
      <c r="J333" s="37"/>
    </row>
    <row r="334" spans="1:10" ht="18" customHeight="1">
      <c r="A334" s="26"/>
      <c r="B334" s="26"/>
      <c r="C334" s="26"/>
      <c r="D334" s="27" t="s">
        <v>1807</v>
      </c>
      <c r="E334" s="142" t="s">
        <v>237</v>
      </c>
      <c r="F334" s="142"/>
      <c r="G334" s="27" t="s">
        <v>2151</v>
      </c>
      <c r="H334" s="34">
        <f>Gas!D132</f>
        <v>28000</v>
      </c>
      <c r="I334" s="34">
        <f>Gas!E132</f>
        <v>28000</v>
      </c>
      <c r="J334" s="37"/>
    </row>
    <row r="335" spans="1:10" ht="23.1" customHeight="1">
      <c r="A335" s="26"/>
      <c r="B335" s="26"/>
      <c r="C335" s="26"/>
      <c r="D335" s="27" t="s">
        <v>1809</v>
      </c>
      <c r="E335" s="142" t="s">
        <v>2332</v>
      </c>
      <c r="F335" s="142"/>
      <c r="G335" s="27" t="s">
        <v>2151</v>
      </c>
      <c r="H335" s="34">
        <f>Gas!D133</f>
        <v>27500</v>
      </c>
      <c r="I335" s="34">
        <f>Gas!E133</f>
        <v>33000</v>
      </c>
      <c r="J335" s="37"/>
    </row>
    <row r="336" spans="1:10" ht="23.1" customHeight="1">
      <c r="A336" s="26"/>
      <c r="B336" s="26"/>
      <c r="C336" s="26"/>
      <c r="D336" s="27" t="s">
        <v>1811</v>
      </c>
      <c r="E336" s="142" t="s">
        <v>2331</v>
      </c>
      <c r="F336" s="142"/>
      <c r="G336" s="27" t="s">
        <v>2151</v>
      </c>
      <c r="H336" s="34">
        <f>Gas!D137</f>
        <v>32500</v>
      </c>
      <c r="I336" s="34">
        <f>Gas!E137</f>
        <v>33000</v>
      </c>
      <c r="J336" s="37"/>
    </row>
    <row r="337" spans="1:10" ht="23.1" customHeight="1">
      <c r="A337" s="26"/>
      <c r="B337" s="26"/>
      <c r="C337" s="26"/>
      <c r="D337" s="27" t="s">
        <v>1813</v>
      </c>
      <c r="E337" s="142" t="s">
        <v>1812</v>
      </c>
      <c r="F337" s="142"/>
      <c r="G337" s="27" t="s">
        <v>2151</v>
      </c>
      <c r="H337" s="34">
        <f>Gas!D134</f>
        <v>125000</v>
      </c>
      <c r="I337" s="34">
        <f>Gas!E134</f>
        <v>125000</v>
      </c>
      <c r="J337" s="37"/>
    </row>
    <row r="338" spans="1:10" ht="23.1" customHeight="1">
      <c r="A338" s="26"/>
      <c r="B338" s="26"/>
      <c r="C338" s="26"/>
      <c r="D338" s="27" t="s">
        <v>1815</v>
      </c>
      <c r="E338" s="142" t="s">
        <v>1814</v>
      </c>
      <c r="F338" s="142"/>
      <c r="G338" s="27" t="s">
        <v>2151</v>
      </c>
      <c r="H338" s="34">
        <f>Gas!D136</f>
        <v>7770000</v>
      </c>
      <c r="I338" s="34">
        <f>Gas!E136</f>
        <v>0</v>
      </c>
      <c r="J338" s="37"/>
    </row>
    <row r="339" spans="1:10" ht="23.1" customHeight="1">
      <c r="A339" s="26"/>
      <c r="B339" s="26"/>
      <c r="C339" s="26"/>
      <c r="D339" s="27" t="s">
        <v>1817</v>
      </c>
      <c r="E339" s="142" t="s">
        <v>1816</v>
      </c>
      <c r="F339" s="142"/>
      <c r="G339" s="27" t="s">
        <v>2151</v>
      </c>
      <c r="H339" s="34">
        <f>Gas!D127</f>
        <v>17000</v>
      </c>
      <c r="I339" s="34">
        <f>Gas!E127</f>
        <v>17000</v>
      </c>
      <c r="J339" s="37"/>
    </row>
    <row r="340" spans="1:10" ht="23.1" customHeight="1">
      <c r="A340" s="26"/>
      <c r="B340" s="26"/>
      <c r="C340" s="26"/>
      <c r="D340" s="27" t="s">
        <v>1819</v>
      </c>
      <c r="E340" s="142" t="s">
        <v>1818</v>
      </c>
      <c r="F340" s="142"/>
      <c r="G340" s="27" t="s">
        <v>2151</v>
      </c>
      <c r="H340" s="34">
        <f>Gas!D128</f>
        <v>17000</v>
      </c>
      <c r="I340" s="34">
        <f>Gas!E128</f>
        <v>17000</v>
      </c>
      <c r="J340" s="37"/>
    </row>
    <row r="341" spans="1:10" ht="23.1" customHeight="1">
      <c r="A341" s="26"/>
      <c r="B341" s="26"/>
      <c r="C341" s="26"/>
      <c r="D341" s="27" t="s">
        <v>1821</v>
      </c>
      <c r="E341" s="142" t="s">
        <v>1820</v>
      </c>
      <c r="F341" s="142"/>
      <c r="G341" s="27" t="s">
        <v>2151</v>
      </c>
      <c r="H341" s="34">
        <f>Gas!D129</f>
        <v>17000</v>
      </c>
      <c r="I341" s="34">
        <f>Gas!E129</f>
        <v>17000</v>
      </c>
      <c r="J341" s="37"/>
    </row>
    <row r="342" spans="1:10" ht="23.1" customHeight="1">
      <c r="A342" s="26"/>
      <c r="B342" s="26"/>
      <c r="C342" s="26"/>
      <c r="D342" s="27" t="s">
        <v>1823</v>
      </c>
      <c r="E342" s="142" t="s">
        <v>1822</v>
      </c>
      <c r="F342" s="142"/>
      <c r="G342" s="27" t="s">
        <v>2151</v>
      </c>
      <c r="H342" s="34">
        <f>Gas!D130</f>
        <v>22500</v>
      </c>
      <c r="I342" s="34">
        <f>Gas!E130</f>
        <v>22500</v>
      </c>
      <c r="J342" s="37"/>
    </row>
    <row r="343" spans="1:10" ht="23.1" customHeight="1">
      <c r="A343" s="26"/>
      <c r="B343" s="26"/>
      <c r="C343" s="26"/>
      <c r="D343" s="27" t="s">
        <v>1825</v>
      </c>
      <c r="E343" s="142" t="s">
        <v>1824</v>
      </c>
      <c r="F343" s="142"/>
      <c r="G343" s="27" t="s">
        <v>2151</v>
      </c>
      <c r="H343" s="34">
        <f>Gas!D131</f>
        <v>22500</v>
      </c>
      <c r="I343" s="34">
        <f>Gas!E131</f>
        <v>22500</v>
      </c>
      <c r="J343" s="37"/>
    </row>
    <row r="344" spans="1:10" ht="23.1" customHeight="1">
      <c r="A344" s="26"/>
      <c r="B344" s="26"/>
      <c r="C344" s="26"/>
      <c r="D344" s="27" t="s">
        <v>1827</v>
      </c>
      <c r="E344" s="142" t="s">
        <v>1826</v>
      </c>
      <c r="F344" s="142"/>
      <c r="G344" s="27" t="s">
        <v>2151</v>
      </c>
      <c r="H344" s="34">
        <f>Gas!D132</f>
        <v>28000</v>
      </c>
      <c r="I344" s="34">
        <f>Gas!E132</f>
        <v>28000</v>
      </c>
      <c r="J344" s="37"/>
    </row>
    <row r="345" spans="1:10" ht="23.1" customHeight="1">
      <c r="A345" s="26"/>
      <c r="B345" s="26"/>
      <c r="C345" s="26"/>
      <c r="D345" s="27" t="s">
        <v>1829</v>
      </c>
      <c r="E345" s="142" t="s">
        <v>1828</v>
      </c>
      <c r="F345" s="142"/>
      <c r="G345" s="27" t="s">
        <v>2151</v>
      </c>
      <c r="H345" s="34">
        <f>Gas!D133</f>
        <v>27500</v>
      </c>
      <c r="I345" s="34">
        <f>Gas!E133</f>
        <v>33000</v>
      </c>
      <c r="J345" s="37"/>
    </row>
    <row r="346" spans="1:10" ht="23.1" customHeight="1">
      <c r="A346" s="26"/>
      <c r="B346" s="26"/>
      <c r="C346" s="26"/>
      <c r="D346" s="27" t="s">
        <v>1831</v>
      </c>
      <c r="E346" s="142" t="s">
        <v>1830</v>
      </c>
      <c r="F346" s="142"/>
      <c r="G346" s="27" t="s">
        <v>2151</v>
      </c>
      <c r="H346" s="34">
        <f>Gas!D137</f>
        <v>32500</v>
      </c>
      <c r="I346" s="34">
        <f>Gas!E137</f>
        <v>33000</v>
      </c>
      <c r="J346" s="37"/>
    </row>
    <row r="347" spans="1:10" ht="23.1" customHeight="1">
      <c r="A347" s="26"/>
      <c r="B347" s="26"/>
      <c r="C347" s="26"/>
      <c r="D347" s="27" t="s">
        <v>1833</v>
      </c>
      <c r="E347" s="142" t="s">
        <v>1832</v>
      </c>
      <c r="F347" s="142"/>
      <c r="G347" s="27" t="s">
        <v>2151</v>
      </c>
      <c r="H347" s="34">
        <f>Gas!D113</f>
        <v>550000</v>
      </c>
      <c r="I347" s="34">
        <f>Gas!E113</f>
        <v>675000</v>
      </c>
      <c r="J347" s="37"/>
    </row>
    <row r="348" spans="1:10" ht="23.1" customHeight="1">
      <c r="A348" s="26"/>
      <c r="B348" s="26"/>
      <c r="C348" s="26"/>
      <c r="D348" s="27" t="s">
        <v>1835</v>
      </c>
      <c r="E348" s="142" t="s">
        <v>1834</v>
      </c>
      <c r="F348" s="142"/>
      <c r="G348" s="27" t="s">
        <v>2151</v>
      </c>
      <c r="H348" s="34" t="e">
        <f>Gas!#REF!</f>
        <v>#REF!</v>
      </c>
      <c r="I348" s="34" t="e">
        <f>Gas!#REF!</f>
        <v>#REF!</v>
      </c>
      <c r="J348" s="37"/>
    </row>
    <row r="349" spans="1:10" ht="23.1" customHeight="1">
      <c r="A349" s="26"/>
      <c r="B349" s="26"/>
      <c r="C349" s="26"/>
      <c r="D349" s="27" t="s">
        <v>1837</v>
      </c>
      <c r="E349" s="142" t="s">
        <v>1836</v>
      </c>
      <c r="F349" s="142"/>
      <c r="G349" s="27" t="s">
        <v>2151</v>
      </c>
      <c r="H349" s="34">
        <f>Gas!D107</f>
        <v>85000</v>
      </c>
      <c r="I349" s="34">
        <f>Gas!E107</f>
        <v>85000</v>
      </c>
      <c r="J349" s="37"/>
    </row>
    <row r="350" spans="1:10" ht="23.1" customHeight="1">
      <c r="A350" s="26"/>
      <c r="B350" s="26"/>
      <c r="C350" s="26"/>
      <c r="D350" s="27" t="s">
        <v>1839</v>
      </c>
      <c r="E350" s="142" t="s">
        <v>1838</v>
      </c>
      <c r="F350" s="142"/>
      <c r="G350" s="27" t="s">
        <v>2151</v>
      </c>
      <c r="H350" s="34">
        <f>Gas!D107</f>
        <v>85000</v>
      </c>
      <c r="I350" s="34">
        <f>Gas!E107</f>
        <v>85000</v>
      </c>
      <c r="J350" s="37"/>
    </row>
    <row r="351" spans="1:10" ht="23.1" customHeight="1">
      <c r="A351" s="26"/>
      <c r="B351" s="26"/>
      <c r="C351" s="26"/>
      <c r="D351" s="27" t="s">
        <v>1841</v>
      </c>
      <c r="E351" s="142" t="s">
        <v>1840</v>
      </c>
      <c r="F351" s="142"/>
      <c r="G351" s="27" t="s">
        <v>2151</v>
      </c>
      <c r="H351" s="34">
        <f>Gas!D107</f>
        <v>85000</v>
      </c>
      <c r="I351" s="34">
        <f>Gas!E107</f>
        <v>85000</v>
      </c>
      <c r="J351" s="37"/>
    </row>
    <row r="352" spans="1:10" ht="23.1" customHeight="1">
      <c r="A352" s="26"/>
      <c r="B352" s="26"/>
      <c r="C352" s="26"/>
      <c r="D352" s="27" t="s">
        <v>1843</v>
      </c>
      <c r="E352" s="142" t="s">
        <v>1842</v>
      </c>
      <c r="F352" s="142"/>
      <c r="G352" s="27" t="s">
        <v>2151</v>
      </c>
      <c r="H352" s="34">
        <f>Gas!D111</f>
        <v>35000</v>
      </c>
      <c r="I352" s="34">
        <f>Gas!E111</f>
        <v>40000</v>
      </c>
      <c r="J352" s="37"/>
    </row>
    <row r="353" spans="1:10" ht="23.1" customHeight="1">
      <c r="A353" s="26"/>
      <c r="B353" s="26"/>
      <c r="C353" s="26"/>
      <c r="D353" s="27" t="s">
        <v>1845</v>
      </c>
      <c r="E353" s="142" t="s">
        <v>1844</v>
      </c>
      <c r="F353" s="142"/>
      <c r="G353" s="27" t="s">
        <v>2151</v>
      </c>
      <c r="H353" s="34">
        <f>Gas!D112</f>
        <v>40000</v>
      </c>
      <c r="I353" s="34">
        <f>Gas!E112</f>
        <v>40000</v>
      </c>
      <c r="J353" s="37"/>
    </row>
    <row r="354" spans="1:10" ht="23.1" customHeight="1">
      <c r="A354" s="26"/>
      <c r="B354" s="26"/>
      <c r="C354" s="26"/>
      <c r="D354" s="27" t="s">
        <v>1847</v>
      </c>
      <c r="E354" s="142" t="s">
        <v>1846</v>
      </c>
      <c r="F354" s="142"/>
      <c r="G354" s="27" t="s">
        <v>2151</v>
      </c>
      <c r="H354" s="34">
        <f>Gas!D115</f>
        <v>500000</v>
      </c>
      <c r="I354" s="34">
        <f>Gas!E115</f>
        <v>0</v>
      </c>
      <c r="J354" s="37"/>
    </row>
    <row r="355" spans="1:10" ht="23.1" customHeight="1">
      <c r="A355" s="26"/>
      <c r="B355" s="26"/>
      <c r="C355" s="26"/>
      <c r="D355" s="27" t="s">
        <v>1849</v>
      </c>
      <c r="E355" s="142" t="s">
        <v>1848</v>
      </c>
      <c r="F355" s="142"/>
      <c r="G355" s="27" t="s">
        <v>2151</v>
      </c>
      <c r="H355" s="34">
        <f>Gas!D116</f>
        <v>600000</v>
      </c>
      <c r="I355" s="34">
        <f>Gas!E116</f>
        <v>850000</v>
      </c>
      <c r="J355" s="37"/>
    </row>
    <row r="356" spans="1:10" ht="23.1" customHeight="1">
      <c r="A356" s="26"/>
      <c r="B356" s="26"/>
      <c r="C356" s="26"/>
      <c r="D356" s="27" t="s">
        <v>1850</v>
      </c>
      <c r="E356" s="142" t="s">
        <v>133</v>
      </c>
      <c r="F356" s="142"/>
      <c r="G356" s="27" t="s">
        <v>2151</v>
      </c>
      <c r="H356" s="34">
        <f>Gas!D140</f>
        <v>35000</v>
      </c>
      <c r="I356" s="34">
        <f>Gas!E140</f>
        <v>60000</v>
      </c>
      <c r="J356" s="37"/>
    </row>
    <row r="357" spans="1:10" ht="23.1" customHeight="1">
      <c r="A357" s="26"/>
      <c r="B357" s="26"/>
      <c r="C357" s="26"/>
      <c r="D357" s="27" t="s">
        <v>1852</v>
      </c>
      <c r="E357" s="142" t="s">
        <v>1851</v>
      </c>
      <c r="F357" s="142"/>
      <c r="G357" s="27" t="s">
        <v>2151</v>
      </c>
      <c r="H357" s="34">
        <f>Gas!D141</f>
        <v>45000</v>
      </c>
      <c r="I357" s="34">
        <f>Gas!E141</f>
        <v>80000</v>
      </c>
      <c r="J357" s="37"/>
    </row>
    <row r="358" spans="1:10" ht="23.1" customHeight="1">
      <c r="A358" s="26"/>
      <c r="B358" s="26"/>
      <c r="C358" s="26"/>
      <c r="D358" s="27" t="s">
        <v>1854</v>
      </c>
      <c r="E358" s="142" t="s">
        <v>1853</v>
      </c>
      <c r="F358" s="142"/>
      <c r="G358" s="27" t="s">
        <v>2151</v>
      </c>
      <c r="H358" s="34">
        <f>Gas!D141</f>
        <v>45000</v>
      </c>
      <c r="I358" s="34">
        <f>Gas!E141</f>
        <v>80000</v>
      </c>
      <c r="J358" s="37"/>
    </row>
    <row r="359" spans="1:10" ht="23.1" customHeight="1">
      <c r="A359" s="26"/>
      <c r="B359" s="26"/>
      <c r="C359" s="26"/>
      <c r="D359" s="27" t="s">
        <v>1856</v>
      </c>
      <c r="E359" s="142" t="s">
        <v>1855</v>
      </c>
      <c r="F359" s="142"/>
      <c r="G359" s="27" t="s">
        <v>2151</v>
      </c>
      <c r="H359" s="34">
        <f>Gas!D142</f>
        <v>50000</v>
      </c>
      <c r="I359" s="34">
        <f>Gas!E142</f>
        <v>135000</v>
      </c>
      <c r="J359" s="37"/>
    </row>
    <row r="360" spans="1:10" ht="21.75" customHeight="1">
      <c r="A360" s="26"/>
      <c r="B360" s="26"/>
      <c r="C360" s="26"/>
      <c r="D360" s="27" t="s">
        <v>1858</v>
      </c>
      <c r="E360" s="142" t="s">
        <v>1857</v>
      </c>
      <c r="F360" s="142"/>
      <c r="G360" s="27" t="s">
        <v>2151</v>
      </c>
      <c r="H360" s="34">
        <f>Gas!D142</f>
        <v>50000</v>
      </c>
      <c r="I360" s="34">
        <f>Gas!E142</f>
        <v>135000</v>
      </c>
      <c r="J360" s="37"/>
    </row>
    <row r="361" spans="1:10" ht="23.1" customHeight="1">
      <c r="A361" s="26"/>
      <c r="B361" s="26"/>
      <c r="C361" s="26"/>
      <c r="D361" s="27" t="s">
        <v>1860</v>
      </c>
      <c r="E361" s="142" t="s">
        <v>1859</v>
      </c>
      <c r="F361" s="142"/>
      <c r="G361" s="27" t="s">
        <v>2151</v>
      </c>
      <c r="H361" s="34">
        <f>Gas!D144</f>
        <v>550000</v>
      </c>
      <c r="I361" s="34">
        <f>Gas!E144</f>
        <v>550000</v>
      </c>
      <c r="J361" s="37"/>
    </row>
    <row r="362" spans="1:10" ht="23.1" customHeight="1">
      <c r="A362" s="26"/>
      <c r="B362" s="26"/>
      <c r="C362" s="26"/>
      <c r="D362" s="27" t="s">
        <v>1862</v>
      </c>
      <c r="E362" s="142" t="s">
        <v>1861</v>
      </c>
      <c r="F362" s="142"/>
      <c r="G362" s="27" t="s">
        <v>2151</v>
      </c>
      <c r="H362" s="34">
        <f>Gas!D145</f>
        <v>1600000</v>
      </c>
      <c r="I362" s="34">
        <f>Gas!E145</f>
        <v>1600000</v>
      </c>
      <c r="J362" s="37"/>
    </row>
    <row r="363" spans="1:10" ht="23.1" customHeight="1">
      <c r="A363" s="26"/>
      <c r="B363" s="26"/>
      <c r="C363" s="26"/>
      <c r="D363" s="27" t="s">
        <v>1863</v>
      </c>
      <c r="E363" s="142" t="s">
        <v>138</v>
      </c>
      <c r="F363" s="142"/>
      <c r="G363" s="27" t="s">
        <v>2151</v>
      </c>
      <c r="H363" s="34">
        <f>Gas!D143</f>
        <v>200000</v>
      </c>
      <c r="I363" s="34">
        <f>Gas!E143</f>
        <v>220000</v>
      </c>
      <c r="J363" s="37"/>
    </row>
    <row r="364" spans="1:10" ht="23.1" customHeight="1">
      <c r="A364" s="26"/>
      <c r="B364" s="26"/>
      <c r="C364" s="26"/>
      <c r="D364" s="27" t="s">
        <v>1865</v>
      </c>
      <c r="E364" s="142" t="s">
        <v>1864</v>
      </c>
      <c r="F364" s="142"/>
      <c r="G364" s="27" t="s">
        <v>2151</v>
      </c>
      <c r="H364" s="34">
        <f>Gas!D78</f>
        <v>0</v>
      </c>
      <c r="I364" s="34">
        <f>Gas!E78</f>
        <v>0</v>
      </c>
      <c r="J364" s="37"/>
    </row>
    <row r="365" spans="1:10" ht="23.1" customHeight="1">
      <c r="A365" s="26"/>
      <c r="B365" s="26"/>
      <c r="C365" s="26"/>
      <c r="D365" s="27" t="s">
        <v>1867</v>
      </c>
      <c r="E365" s="142" t="s">
        <v>1866</v>
      </c>
      <c r="F365" s="142"/>
      <c r="G365" s="27" t="s">
        <v>2151</v>
      </c>
      <c r="H365" s="34">
        <f>Gas!D76</f>
        <v>0</v>
      </c>
      <c r="I365" s="34">
        <f>Gas!E76</f>
        <v>0</v>
      </c>
      <c r="J365" s="37"/>
    </row>
    <row r="366" spans="1:10" ht="23.1" customHeight="1">
      <c r="A366" s="26"/>
      <c r="B366" s="26"/>
      <c r="C366" s="26"/>
      <c r="D366" s="27" t="s">
        <v>1869</v>
      </c>
      <c r="E366" s="142" t="s">
        <v>1868</v>
      </c>
      <c r="F366" s="142"/>
      <c r="G366" s="27" t="s">
        <v>2151</v>
      </c>
      <c r="H366" s="34">
        <f>Gas!D77</f>
        <v>0</v>
      </c>
      <c r="I366" s="34">
        <f>Gas!E77</f>
        <v>0</v>
      </c>
      <c r="J366" s="37"/>
    </row>
    <row r="367" spans="1:10" ht="23.1" customHeight="1">
      <c r="A367" s="26"/>
      <c r="B367" s="26"/>
      <c r="C367" s="26"/>
      <c r="D367" s="27" t="s">
        <v>1871</v>
      </c>
      <c r="E367" s="142" t="s">
        <v>1870</v>
      </c>
      <c r="F367" s="142"/>
      <c r="G367" s="27" t="s">
        <v>2151</v>
      </c>
      <c r="H367" s="34">
        <f>Gas!D80</f>
        <v>0</v>
      </c>
      <c r="I367" s="34">
        <f>Gas!E80</f>
        <v>0</v>
      </c>
      <c r="J367" s="37"/>
    </row>
    <row r="368" spans="1:10" ht="23.1" customHeight="1">
      <c r="A368" s="26"/>
      <c r="B368" s="26"/>
      <c r="C368" s="26"/>
      <c r="D368" s="27" t="s">
        <v>1873</v>
      </c>
      <c r="E368" s="142" t="s">
        <v>1872</v>
      </c>
      <c r="F368" s="142"/>
      <c r="G368" s="27" t="s">
        <v>2151</v>
      </c>
      <c r="H368" s="34">
        <f>Gas!D79</f>
        <v>0</v>
      </c>
      <c r="I368" s="34">
        <f>Gas!E79</f>
        <v>0</v>
      </c>
      <c r="J368" s="37"/>
    </row>
    <row r="369" spans="1:10" ht="23.1" customHeight="1">
      <c r="A369" s="26"/>
      <c r="B369" s="26"/>
      <c r="C369" s="26"/>
      <c r="D369" s="27" t="s">
        <v>1875</v>
      </c>
      <c r="E369" s="142" t="s">
        <v>1874</v>
      </c>
      <c r="F369" s="142"/>
      <c r="G369" s="27" t="s">
        <v>2151</v>
      </c>
      <c r="H369" s="34">
        <f>Gas!D81</f>
        <v>0</v>
      </c>
      <c r="I369" s="34">
        <f>Gas!E81</f>
        <v>0</v>
      </c>
      <c r="J369" s="37"/>
    </row>
    <row r="370" spans="1:10" ht="23.1" customHeight="1">
      <c r="A370" s="26"/>
      <c r="B370" s="26"/>
      <c r="C370" s="26"/>
      <c r="D370" s="27" t="s">
        <v>1877</v>
      </c>
      <c r="E370" s="142" t="s">
        <v>1876</v>
      </c>
      <c r="F370" s="142"/>
      <c r="G370" s="27" t="s">
        <v>2151</v>
      </c>
      <c r="H370" s="34">
        <f>Gas!D82</f>
        <v>6000000</v>
      </c>
      <c r="I370" s="34">
        <f>Gas!E82</f>
        <v>0</v>
      </c>
      <c r="J370" s="37"/>
    </row>
    <row r="371" spans="1:10" ht="23.1" customHeight="1">
      <c r="A371" s="26"/>
      <c r="B371" s="26"/>
      <c r="C371" s="26"/>
      <c r="D371" s="27" t="s">
        <v>1879</v>
      </c>
      <c r="E371" s="142" t="s">
        <v>1878</v>
      </c>
      <c r="F371" s="142"/>
      <c r="G371" s="27" t="s">
        <v>2151</v>
      </c>
      <c r="H371" s="34">
        <f>Gas!D83</f>
        <v>0</v>
      </c>
      <c r="I371" s="34">
        <f>Gas!E83</f>
        <v>0</v>
      </c>
      <c r="J371" s="37"/>
    </row>
    <row r="372" spans="1:10" ht="23.1" customHeight="1">
      <c r="A372" s="26"/>
      <c r="B372" s="26"/>
      <c r="C372" s="26"/>
      <c r="D372" s="27" t="s">
        <v>1881</v>
      </c>
      <c r="E372" s="142" t="s">
        <v>1880</v>
      </c>
      <c r="F372" s="142"/>
      <c r="G372" s="27" t="s">
        <v>2151</v>
      </c>
      <c r="H372" s="34">
        <f>Gas!D84</f>
        <v>0</v>
      </c>
      <c r="I372" s="34">
        <f>Gas!E84</f>
        <v>0</v>
      </c>
      <c r="J372" s="37"/>
    </row>
    <row r="373" spans="1:10" ht="23.1" customHeight="1">
      <c r="A373" s="26"/>
      <c r="B373" s="26"/>
      <c r="C373" s="26"/>
      <c r="D373" s="27" t="s">
        <v>1958</v>
      </c>
      <c r="E373" s="142" t="s">
        <v>2330</v>
      </c>
      <c r="F373" s="142"/>
      <c r="G373" s="27" t="s">
        <v>2151</v>
      </c>
      <c r="H373" s="34"/>
      <c r="I373" s="34"/>
      <c r="J373" s="37"/>
    </row>
    <row r="374" spans="1:10" ht="21.75" customHeight="1">
      <c r="A374" s="26"/>
      <c r="B374" s="26"/>
      <c r="C374" s="26"/>
      <c r="D374" s="27" t="s">
        <v>1909</v>
      </c>
      <c r="E374" s="142" t="s">
        <v>1908</v>
      </c>
      <c r="F374" s="142"/>
      <c r="G374" s="27" t="s">
        <v>2151</v>
      </c>
      <c r="H374" s="34">
        <f>Gas!D50</f>
        <v>40000</v>
      </c>
      <c r="I374" s="34">
        <f>Gas!E50</f>
        <v>40000</v>
      </c>
      <c r="J374" s="37"/>
    </row>
    <row r="375" spans="1:10" ht="23.1" customHeight="1">
      <c r="A375" s="26"/>
      <c r="B375" s="26"/>
      <c r="C375" s="26"/>
      <c r="D375" s="27" t="s">
        <v>1911</v>
      </c>
      <c r="E375" s="142" t="s">
        <v>1910</v>
      </c>
      <c r="F375" s="142"/>
      <c r="G375" s="27" t="s">
        <v>2151</v>
      </c>
      <c r="H375" s="34">
        <f>Gas!D53</f>
        <v>50000</v>
      </c>
      <c r="I375" s="34">
        <f>Gas!E53</f>
        <v>50000</v>
      </c>
      <c r="J375" s="37"/>
    </row>
    <row r="376" spans="1:10" ht="23.1" customHeight="1">
      <c r="A376" s="26"/>
      <c r="B376" s="26"/>
      <c r="C376" s="26"/>
      <c r="D376" s="27" t="s">
        <v>1913</v>
      </c>
      <c r="E376" s="142" t="s">
        <v>1912</v>
      </c>
      <c r="F376" s="142"/>
      <c r="G376" s="27" t="s">
        <v>2151</v>
      </c>
      <c r="H376" s="34">
        <f>Gas!D54</f>
        <v>60000</v>
      </c>
      <c r="I376" s="34">
        <f>Gas!E54</f>
        <v>60000</v>
      </c>
      <c r="J376" s="37"/>
    </row>
    <row r="377" spans="1:10" ht="23.1" customHeight="1">
      <c r="A377" s="26"/>
      <c r="B377" s="26"/>
      <c r="C377" s="26"/>
      <c r="D377" s="27" t="s">
        <v>1915</v>
      </c>
      <c r="E377" s="142" t="s">
        <v>1914</v>
      </c>
      <c r="F377" s="142"/>
      <c r="G377" s="27" t="s">
        <v>2151</v>
      </c>
      <c r="H377" s="34">
        <f>Gas!D55</f>
        <v>60000</v>
      </c>
      <c r="I377" s="34">
        <f>Gas!E55</f>
        <v>60000</v>
      </c>
      <c r="J377" s="37"/>
    </row>
    <row r="378" spans="1:10" ht="23.1" customHeight="1">
      <c r="A378" s="26"/>
      <c r="B378" s="26"/>
      <c r="C378" s="26"/>
      <c r="D378" s="27" t="s">
        <v>1917</v>
      </c>
      <c r="E378" s="142" t="s">
        <v>1916</v>
      </c>
      <c r="F378" s="142"/>
      <c r="G378" s="27" t="s">
        <v>2151</v>
      </c>
      <c r="H378" s="34">
        <f>Gas!D49</f>
        <v>50000</v>
      </c>
      <c r="I378" s="34">
        <f>Gas!E49</f>
        <v>60000</v>
      </c>
      <c r="J378" s="37"/>
    </row>
    <row r="379" spans="1:10" ht="23.1" customHeight="1">
      <c r="A379" s="26"/>
      <c r="B379" s="26"/>
      <c r="C379" s="26"/>
      <c r="D379" s="27" t="s">
        <v>1919</v>
      </c>
      <c r="E379" s="142" t="s">
        <v>1918</v>
      </c>
      <c r="F379" s="142"/>
      <c r="G379" s="27" t="s">
        <v>2151</v>
      </c>
      <c r="H379" s="34">
        <f>Gas!D58</f>
        <v>80000</v>
      </c>
      <c r="I379" s="34">
        <f>Gas!E58</f>
        <v>80000</v>
      </c>
      <c r="J379" s="37"/>
    </row>
    <row r="380" spans="1:10" ht="23.1" customHeight="1">
      <c r="A380" s="26"/>
      <c r="B380" s="26"/>
      <c r="C380" s="26"/>
      <c r="D380" s="27" t="s">
        <v>1921</v>
      </c>
      <c r="E380" s="142" t="s">
        <v>1920</v>
      </c>
      <c r="F380" s="142"/>
      <c r="G380" s="27" t="s">
        <v>2151</v>
      </c>
      <c r="H380" s="34">
        <f>Gas!D62</f>
        <v>100000</v>
      </c>
      <c r="I380" s="34">
        <f>Gas!E62</f>
        <v>100000</v>
      </c>
      <c r="J380" s="37"/>
    </row>
    <row r="381" spans="1:10" ht="23.1" customHeight="1">
      <c r="A381" s="26"/>
      <c r="B381" s="26"/>
      <c r="C381" s="26"/>
      <c r="D381" s="27" t="s">
        <v>1923</v>
      </c>
      <c r="E381" s="142" t="s">
        <v>1922</v>
      </c>
      <c r="F381" s="142"/>
      <c r="G381" s="27" t="s">
        <v>2151</v>
      </c>
      <c r="H381" s="34">
        <f>Gas!D64</f>
        <v>145000</v>
      </c>
      <c r="I381" s="34">
        <f>Gas!E64</f>
        <v>110000</v>
      </c>
      <c r="J381" s="37"/>
    </row>
    <row r="382" spans="1:10" ht="23.1" customHeight="1">
      <c r="A382" s="26"/>
      <c r="B382" s="26"/>
      <c r="C382" s="26"/>
      <c r="D382" s="27" t="s">
        <v>1925</v>
      </c>
      <c r="E382" s="142" t="s">
        <v>1924</v>
      </c>
      <c r="F382" s="142"/>
      <c r="G382" s="27" t="s">
        <v>2151</v>
      </c>
      <c r="H382" s="34">
        <f>Gas!D66</f>
        <v>101250</v>
      </c>
      <c r="I382" s="34">
        <f>Gas!E66</f>
        <v>120000</v>
      </c>
      <c r="J382" s="37"/>
    </row>
    <row r="383" spans="1:10" ht="23.1" customHeight="1">
      <c r="A383" s="26"/>
      <c r="B383" s="26"/>
      <c r="C383" s="26"/>
      <c r="D383" s="27" t="s">
        <v>1927</v>
      </c>
      <c r="E383" s="142" t="s">
        <v>1926</v>
      </c>
      <c r="F383" s="142"/>
      <c r="G383" s="27" t="s">
        <v>2151</v>
      </c>
      <c r="H383" s="34">
        <f>Gas!D72</f>
        <v>135000</v>
      </c>
      <c r="I383" s="34">
        <f>Gas!E72</f>
        <v>140000</v>
      </c>
      <c r="J383" s="37"/>
    </row>
    <row r="384" spans="1:10" ht="23.1" customHeight="1">
      <c r="A384" s="26"/>
      <c r="B384" s="26"/>
      <c r="C384" s="26"/>
      <c r="D384" s="27" t="s">
        <v>1929</v>
      </c>
      <c r="E384" s="142" t="s">
        <v>1928</v>
      </c>
      <c r="F384" s="142"/>
      <c r="G384" s="27" t="s">
        <v>2151</v>
      </c>
      <c r="H384" s="34">
        <f>Gas!D72</f>
        <v>135000</v>
      </c>
      <c r="I384" s="34">
        <f>Gas!E72</f>
        <v>140000</v>
      </c>
      <c r="J384" s="37"/>
    </row>
    <row r="385" spans="1:10" ht="23.1" customHeight="1">
      <c r="A385" s="26"/>
      <c r="B385" s="26"/>
      <c r="C385" s="26"/>
      <c r="D385" s="27" t="s">
        <v>1931</v>
      </c>
      <c r="E385" s="142" t="s">
        <v>1930</v>
      </c>
      <c r="F385" s="142"/>
      <c r="G385" s="27" t="s">
        <v>2151</v>
      </c>
      <c r="H385" s="34">
        <f>Gas!D69</f>
        <v>168750</v>
      </c>
      <c r="I385" s="34">
        <f>Gas!E69</f>
        <v>162500</v>
      </c>
      <c r="J385" s="37"/>
    </row>
    <row r="386" spans="1:10" ht="23.1" customHeight="1">
      <c r="A386" s="26"/>
      <c r="B386" s="26"/>
      <c r="C386" s="26"/>
      <c r="D386" s="27" t="s">
        <v>1933</v>
      </c>
      <c r="E386" s="142" t="s">
        <v>1932</v>
      </c>
      <c r="F386" s="142"/>
      <c r="G386" s="27" t="s">
        <v>2151</v>
      </c>
      <c r="H386" s="34">
        <f>Gas!D69</f>
        <v>168750</v>
      </c>
      <c r="I386" s="34">
        <f>Gas!E69</f>
        <v>162500</v>
      </c>
      <c r="J386" s="37"/>
    </row>
    <row r="387" spans="1:10" ht="23.1" customHeight="1">
      <c r="A387" s="26"/>
      <c r="B387" s="26"/>
      <c r="C387" s="26"/>
      <c r="D387" s="27" t="s">
        <v>1934</v>
      </c>
      <c r="E387" s="142" t="s">
        <v>145</v>
      </c>
      <c r="F387" s="142"/>
      <c r="G387" s="27" t="s">
        <v>2151</v>
      </c>
      <c r="H387" s="34">
        <f>Gas!D73</f>
        <v>303750</v>
      </c>
      <c r="I387" s="34">
        <f>Gas!E73</f>
        <v>292500</v>
      </c>
      <c r="J387" s="37"/>
    </row>
    <row r="388" spans="1:10" ht="23.1" customHeight="1">
      <c r="A388" s="26"/>
      <c r="B388" s="26"/>
      <c r="C388" s="26"/>
      <c r="D388" s="27" t="s">
        <v>1935</v>
      </c>
      <c r="E388" s="142" t="s">
        <v>12</v>
      </c>
      <c r="F388" s="142"/>
      <c r="G388" s="27" t="s">
        <v>2151</v>
      </c>
      <c r="H388" s="34">
        <f>Gas!D65</f>
        <v>225000</v>
      </c>
      <c r="I388" s="34">
        <f>Gas!E65</f>
        <v>195000</v>
      </c>
      <c r="J388" s="37"/>
    </row>
    <row r="389" spans="1:10" ht="23.1" customHeight="1">
      <c r="A389" s="26"/>
      <c r="B389" s="26"/>
      <c r="C389" s="26"/>
      <c r="D389" s="27" t="s">
        <v>1936</v>
      </c>
      <c r="E389" s="142" t="s">
        <v>13</v>
      </c>
      <c r="F389" s="142"/>
      <c r="G389" s="27" t="s">
        <v>2151</v>
      </c>
      <c r="H389" s="34"/>
      <c r="I389" s="34"/>
      <c r="J389" s="37"/>
    </row>
    <row r="390" spans="1:10" ht="23.1" customHeight="1">
      <c r="A390" s="26"/>
      <c r="B390" s="26"/>
      <c r="C390" s="26"/>
      <c r="D390" s="27" t="s">
        <v>1937</v>
      </c>
      <c r="E390" s="142" t="s">
        <v>272</v>
      </c>
      <c r="F390" s="142"/>
      <c r="G390" s="27" t="s">
        <v>2151</v>
      </c>
      <c r="H390" s="34">
        <f>Gas!D47</f>
        <v>360000</v>
      </c>
      <c r="I390" s="34">
        <f>Gas!E47</f>
        <v>360000</v>
      </c>
      <c r="J390" s="37"/>
    </row>
    <row r="391" spans="1:10" ht="23.1" customHeight="1">
      <c r="A391" s="26"/>
      <c r="B391" s="26"/>
      <c r="C391" s="26"/>
      <c r="D391" s="27" t="s">
        <v>1938</v>
      </c>
      <c r="E391" s="142" t="s">
        <v>273</v>
      </c>
      <c r="F391" s="142"/>
      <c r="G391" s="27" t="s">
        <v>2151</v>
      </c>
      <c r="H391" s="34">
        <f>Gas!D48</f>
        <v>405000</v>
      </c>
      <c r="I391" s="34">
        <f>Gas!E48</f>
        <v>405000</v>
      </c>
      <c r="J391" s="37"/>
    </row>
    <row r="392" spans="1:10" ht="23.1" customHeight="1">
      <c r="A392" s="26"/>
      <c r="B392" s="26"/>
      <c r="C392" s="26"/>
      <c r="D392" s="27" t="s">
        <v>1939</v>
      </c>
      <c r="E392" s="142" t="s">
        <v>14</v>
      </c>
      <c r="F392" s="142"/>
      <c r="G392" s="27" t="s">
        <v>2151</v>
      </c>
      <c r="H392" s="34">
        <f>Gas!D74</f>
        <v>0</v>
      </c>
      <c r="I392" s="34">
        <f>Gas!E74</f>
        <v>0</v>
      </c>
      <c r="J392" s="37"/>
    </row>
    <row r="393" spans="1:10" ht="23.1" customHeight="1">
      <c r="A393" s="26"/>
      <c r="B393" s="26"/>
      <c r="C393" s="26"/>
      <c r="D393" s="27" t="s">
        <v>1940</v>
      </c>
      <c r="E393" s="142" t="s">
        <v>211</v>
      </c>
      <c r="F393" s="142"/>
      <c r="G393" s="27" t="s">
        <v>2151</v>
      </c>
      <c r="H393" s="34">
        <f>Gas!D117</f>
        <v>400000</v>
      </c>
      <c r="I393" s="34">
        <f>Gas!E117</f>
        <v>400000</v>
      </c>
      <c r="J393" s="37"/>
    </row>
    <row r="394" spans="1:10" ht="23.1" customHeight="1">
      <c r="A394" s="26"/>
      <c r="B394" s="26"/>
      <c r="C394" s="26"/>
      <c r="D394" s="27" t="s">
        <v>1941</v>
      </c>
      <c r="E394" s="142" t="s">
        <v>216</v>
      </c>
      <c r="F394" s="142"/>
      <c r="G394" s="27" t="s">
        <v>2151</v>
      </c>
      <c r="H394" s="34">
        <f>Gas!D118</f>
        <v>400000</v>
      </c>
      <c r="I394" s="34">
        <f>Gas!E118</f>
        <v>400000</v>
      </c>
      <c r="J394" s="37"/>
    </row>
    <row r="395" spans="1:10" ht="23.1" customHeight="1">
      <c r="A395" s="26"/>
      <c r="B395" s="26"/>
      <c r="C395" s="26"/>
      <c r="D395" s="27" t="s">
        <v>1942</v>
      </c>
      <c r="E395" s="142" t="s">
        <v>146</v>
      </c>
      <c r="F395" s="142"/>
      <c r="G395" s="27" t="s">
        <v>2151</v>
      </c>
      <c r="H395" s="34" t="e">
        <f>Gas!#REF!</f>
        <v>#REF!</v>
      </c>
      <c r="I395" s="34" t="e">
        <f>Gas!#REF!</f>
        <v>#REF!</v>
      </c>
      <c r="J395" s="37"/>
    </row>
    <row r="396" spans="1:10" ht="23.1" customHeight="1">
      <c r="A396" s="26"/>
      <c r="B396" s="26"/>
      <c r="C396" s="26"/>
      <c r="D396" s="27" t="s">
        <v>1943</v>
      </c>
      <c r="E396" s="142" t="s">
        <v>147</v>
      </c>
      <c r="F396" s="142"/>
      <c r="G396" s="27" t="s">
        <v>2151</v>
      </c>
      <c r="H396" s="34">
        <f>Gas!D120</f>
        <v>1020000</v>
      </c>
      <c r="I396" s="34">
        <f>Gas!E120</f>
        <v>1020000</v>
      </c>
      <c r="J396" s="37"/>
    </row>
    <row r="397" spans="1:10" ht="23.1" customHeight="1">
      <c r="A397" s="26"/>
      <c r="B397" s="26"/>
      <c r="C397" s="26"/>
      <c r="D397" s="27" t="s">
        <v>1944</v>
      </c>
      <c r="E397" s="142" t="s">
        <v>148</v>
      </c>
      <c r="F397" s="142"/>
      <c r="G397" s="27" t="s">
        <v>2151</v>
      </c>
      <c r="H397" s="34">
        <f>Gas!D121</f>
        <v>1360000</v>
      </c>
      <c r="I397" s="34">
        <f>Gas!E121</f>
        <v>1360000</v>
      </c>
      <c r="J397" s="37"/>
    </row>
    <row r="398" spans="1:10" ht="23.1" customHeight="1">
      <c r="A398" s="26"/>
      <c r="B398" s="26"/>
      <c r="C398" s="26"/>
      <c r="D398" s="27" t="s">
        <v>1945</v>
      </c>
      <c r="E398" s="142" t="s">
        <v>253</v>
      </c>
      <c r="F398" s="142"/>
      <c r="G398" s="27" t="s">
        <v>2151</v>
      </c>
      <c r="H398" s="34">
        <f>Gas!D122</f>
        <v>2040000</v>
      </c>
      <c r="I398" s="34">
        <f>Gas!E122</f>
        <v>2040000</v>
      </c>
      <c r="J398" s="37"/>
    </row>
    <row r="399" spans="1:10" ht="23.1" customHeight="1">
      <c r="A399" s="26"/>
      <c r="B399" s="26"/>
      <c r="C399" s="26"/>
      <c r="D399" s="27" t="s">
        <v>1947</v>
      </c>
      <c r="E399" s="142" t="s">
        <v>1946</v>
      </c>
      <c r="F399" s="142"/>
      <c r="G399" s="27" t="s">
        <v>2151</v>
      </c>
      <c r="H399" s="34">
        <f>Gas!D123</f>
        <v>2250000</v>
      </c>
      <c r="I399" s="34">
        <f>Gas!E123</f>
        <v>2250000</v>
      </c>
      <c r="J399" s="37"/>
    </row>
    <row r="400" spans="1:10" ht="20.25" customHeight="1">
      <c r="A400" s="26"/>
      <c r="B400" s="26"/>
      <c r="C400" s="26"/>
      <c r="D400" s="27" t="s">
        <v>1949</v>
      </c>
      <c r="E400" s="142" t="s">
        <v>1948</v>
      </c>
      <c r="F400" s="142"/>
      <c r="G400" s="27" t="s">
        <v>2151</v>
      </c>
      <c r="H400" s="34">
        <f>Gas!D123</f>
        <v>2250000</v>
      </c>
      <c r="I400" s="34">
        <f>Gas!E123</f>
        <v>2250000</v>
      </c>
      <c r="J400" s="37"/>
    </row>
    <row r="401" spans="1:10" ht="23.1" customHeight="1">
      <c r="A401" s="26"/>
      <c r="B401" s="26"/>
      <c r="C401" s="26"/>
      <c r="D401" s="27" t="s">
        <v>1951</v>
      </c>
      <c r="E401" s="142" t="s">
        <v>1950</v>
      </c>
      <c r="F401" s="142"/>
      <c r="G401" s="27" t="s">
        <v>2151</v>
      </c>
      <c r="H401" s="34">
        <f>Gas!D124</f>
        <v>3000000</v>
      </c>
      <c r="I401" s="34">
        <f>Gas!E124</f>
        <v>3000000</v>
      </c>
      <c r="J401" s="37"/>
    </row>
    <row r="402" spans="1:10" ht="23.1" customHeight="1">
      <c r="A402" s="26"/>
      <c r="B402" s="26"/>
      <c r="C402" s="26"/>
      <c r="D402" s="27" t="s">
        <v>1953</v>
      </c>
      <c r="E402" s="142" t="s">
        <v>1952</v>
      </c>
      <c r="F402" s="142"/>
      <c r="G402" s="27" t="s">
        <v>2151</v>
      </c>
      <c r="H402" s="34">
        <f>Gas!D124</f>
        <v>3000000</v>
      </c>
      <c r="I402" s="34">
        <f>Gas!E124</f>
        <v>3000000</v>
      </c>
      <c r="J402" s="37"/>
    </row>
    <row r="403" spans="1:10" ht="23.1" customHeight="1">
      <c r="A403" s="26"/>
      <c r="B403" s="26"/>
      <c r="C403" s="26"/>
      <c r="D403" s="27" t="s">
        <v>1955</v>
      </c>
      <c r="E403" s="142" t="s">
        <v>1954</v>
      </c>
      <c r="F403" s="142"/>
      <c r="G403" s="27" t="s">
        <v>2151</v>
      </c>
      <c r="H403" s="34">
        <f>Gas!D125</f>
        <v>3750000</v>
      </c>
      <c r="I403" s="34">
        <f>Gas!E125</f>
        <v>3750000</v>
      </c>
      <c r="J403" s="37"/>
    </row>
    <row r="404" spans="1:10" ht="23.1" customHeight="1">
      <c r="A404" s="26"/>
      <c r="B404" s="26"/>
      <c r="C404" s="26"/>
      <c r="D404" s="27" t="s">
        <v>1957</v>
      </c>
      <c r="E404" s="142" t="s">
        <v>1956</v>
      </c>
      <c r="F404" s="142"/>
      <c r="G404" s="27" t="s">
        <v>2151</v>
      </c>
      <c r="H404" s="34">
        <f>Gas!D125</f>
        <v>3750000</v>
      </c>
      <c r="I404" s="34">
        <f>Gas!E125</f>
        <v>3750000</v>
      </c>
      <c r="J404" s="37"/>
    </row>
    <row r="405" spans="1:10" ht="23.1" customHeight="1">
      <c r="A405" s="26"/>
      <c r="B405" s="26"/>
      <c r="C405" s="26"/>
      <c r="D405" s="27" t="s">
        <v>1960</v>
      </c>
      <c r="E405" s="142" t="s">
        <v>1959</v>
      </c>
      <c r="F405" s="142"/>
      <c r="G405" s="27" t="s">
        <v>2151</v>
      </c>
      <c r="H405" s="34">
        <f>Gas!D21</f>
        <v>65000</v>
      </c>
      <c r="I405" s="34">
        <f>Gas!E21</f>
        <v>65000</v>
      </c>
      <c r="J405" s="37"/>
    </row>
    <row r="406" spans="1:10" ht="23.1" customHeight="1">
      <c r="A406" s="26"/>
      <c r="B406" s="26"/>
      <c r="C406" s="26"/>
      <c r="D406" s="27" t="s">
        <v>1962</v>
      </c>
      <c r="E406" s="142" t="s">
        <v>1961</v>
      </c>
      <c r="F406" s="142"/>
      <c r="G406" s="27" t="s">
        <v>2151</v>
      </c>
      <c r="H406" s="34">
        <f>Gas!D24</f>
        <v>65000</v>
      </c>
      <c r="I406" s="34">
        <f>Gas!E24</f>
        <v>75000</v>
      </c>
      <c r="J406" s="37"/>
    </row>
    <row r="407" spans="1:10" ht="23.1" customHeight="1">
      <c r="A407" s="26"/>
      <c r="B407" s="26"/>
      <c r="C407" s="26"/>
      <c r="D407" s="27" t="s">
        <v>1964</v>
      </c>
      <c r="E407" s="142" t="s">
        <v>1963</v>
      </c>
      <c r="F407" s="142"/>
      <c r="G407" s="27" t="s">
        <v>2151</v>
      </c>
      <c r="H407" s="34">
        <f>Gas!D27</f>
        <v>65000</v>
      </c>
      <c r="I407" s="34">
        <f>Gas!E27</f>
        <v>90000</v>
      </c>
      <c r="J407" s="37"/>
    </row>
    <row r="408" spans="1:10" ht="23.1" customHeight="1">
      <c r="A408" s="26"/>
      <c r="B408" s="26"/>
      <c r="C408" s="26"/>
      <c r="D408" s="27" t="s">
        <v>1966</v>
      </c>
      <c r="E408" s="142" t="s">
        <v>1965</v>
      </c>
      <c r="F408" s="142"/>
      <c r="G408" s="27" t="s">
        <v>2151</v>
      </c>
      <c r="H408" s="34">
        <f>Gas!D30</f>
        <v>85000</v>
      </c>
      <c r="I408" s="34">
        <f>Gas!E30</f>
        <v>120000</v>
      </c>
      <c r="J408" s="37"/>
    </row>
    <row r="409" spans="1:10" ht="23.1" customHeight="1">
      <c r="A409" s="26"/>
      <c r="B409" s="26"/>
      <c r="C409" s="26"/>
      <c r="D409" s="27" t="s">
        <v>1968</v>
      </c>
      <c r="E409" s="142" t="s">
        <v>1967</v>
      </c>
      <c r="F409" s="142"/>
      <c r="G409" s="27" t="s">
        <v>2151</v>
      </c>
      <c r="H409" s="34">
        <f>Gas!D33</f>
        <v>105000</v>
      </c>
      <c r="I409" s="34">
        <f>Gas!E33</f>
        <v>140000</v>
      </c>
      <c r="J409" s="37"/>
    </row>
    <row r="410" spans="1:10" ht="23.1" customHeight="1">
      <c r="A410" s="26"/>
      <c r="B410" s="26"/>
      <c r="C410" s="26"/>
      <c r="D410" s="27" t="s">
        <v>1970</v>
      </c>
      <c r="E410" s="142" t="s">
        <v>1969</v>
      </c>
      <c r="F410" s="142"/>
      <c r="G410" s="27" t="s">
        <v>2151</v>
      </c>
      <c r="H410" s="34">
        <f>Gas!D36</f>
        <v>140000</v>
      </c>
      <c r="I410" s="34">
        <f>Gas!E36</f>
        <v>150000</v>
      </c>
      <c r="J410" s="37"/>
    </row>
    <row r="411" spans="1:10" ht="23.1" customHeight="1">
      <c r="A411" s="26"/>
      <c r="B411" s="26"/>
      <c r="C411" s="26"/>
      <c r="D411" s="27" t="s">
        <v>1972</v>
      </c>
      <c r="E411" s="142" t="s">
        <v>1971</v>
      </c>
      <c r="F411" s="142"/>
      <c r="G411" s="27" t="s">
        <v>2151</v>
      </c>
      <c r="H411" s="34">
        <f>Gas!D37</f>
        <v>140000</v>
      </c>
      <c r="I411" s="34">
        <f>Gas!E37</f>
        <v>170000</v>
      </c>
      <c r="J411" s="37"/>
    </row>
    <row r="412" spans="1:10" ht="23.1" customHeight="1">
      <c r="A412" s="26"/>
      <c r="B412" s="26"/>
      <c r="C412" s="26"/>
      <c r="D412" s="27" t="s">
        <v>1974</v>
      </c>
      <c r="E412" s="142" t="s">
        <v>1973</v>
      </c>
      <c r="F412" s="142"/>
      <c r="G412" s="27" t="s">
        <v>2151</v>
      </c>
      <c r="H412" s="34">
        <f>Gas!D38</f>
        <v>165000</v>
      </c>
      <c r="I412" s="34">
        <f>Gas!E38</f>
        <v>195000</v>
      </c>
      <c r="J412" s="37"/>
    </row>
    <row r="413" spans="1:10" ht="23.1" customHeight="1">
      <c r="A413" s="26"/>
      <c r="B413" s="26"/>
      <c r="C413" s="26"/>
      <c r="D413" s="27" t="s">
        <v>1976</v>
      </c>
      <c r="E413" s="142" t="s">
        <v>1975</v>
      </c>
      <c r="F413" s="142"/>
      <c r="G413" s="27" t="s">
        <v>2151</v>
      </c>
      <c r="H413" s="34">
        <f>Gas!D22</f>
        <v>165000</v>
      </c>
      <c r="I413" s="34">
        <f>Gas!E22</f>
        <v>165000</v>
      </c>
      <c r="J413" s="37"/>
    </row>
    <row r="414" spans="1:10" ht="23.1" customHeight="1">
      <c r="A414" s="26"/>
      <c r="B414" s="26"/>
      <c r="C414" s="26"/>
      <c r="D414" s="27" t="s">
        <v>1978</v>
      </c>
      <c r="E414" s="142" t="s">
        <v>1977</v>
      </c>
      <c r="F414" s="142"/>
      <c r="G414" s="27" t="s">
        <v>2151</v>
      </c>
      <c r="H414" s="34">
        <f>Gas!D25</f>
        <v>65000</v>
      </c>
      <c r="I414" s="34">
        <f>Gas!E25</f>
        <v>65000</v>
      </c>
      <c r="J414" s="37"/>
    </row>
    <row r="415" spans="1:10" ht="23.1" customHeight="1">
      <c r="A415" s="26"/>
      <c r="B415" s="26"/>
      <c r="C415" s="26"/>
      <c r="D415" s="27" t="s">
        <v>1980</v>
      </c>
      <c r="E415" s="142" t="s">
        <v>1979</v>
      </c>
      <c r="F415" s="142"/>
      <c r="G415" s="27" t="s">
        <v>2151</v>
      </c>
      <c r="H415" s="34">
        <f>Gas!D28</f>
        <v>165000</v>
      </c>
      <c r="I415" s="34">
        <f>Gas!E28</f>
        <v>150000</v>
      </c>
      <c r="J415" s="37"/>
    </row>
    <row r="416" spans="1:10" ht="23.1" customHeight="1">
      <c r="A416" s="26"/>
      <c r="B416" s="26"/>
      <c r="C416" s="26"/>
      <c r="D416" s="27" t="s">
        <v>1982</v>
      </c>
      <c r="E416" s="142" t="s">
        <v>1981</v>
      </c>
      <c r="F416" s="142"/>
      <c r="G416" s="27" t="s">
        <v>2151</v>
      </c>
      <c r="H416" s="34">
        <f>Gas!D31</f>
        <v>165000</v>
      </c>
      <c r="I416" s="34">
        <f>Gas!E31</f>
        <v>150000</v>
      </c>
      <c r="J416" s="37"/>
    </row>
    <row r="417" spans="1:10" ht="23.1" customHeight="1">
      <c r="A417" s="26"/>
      <c r="B417" s="26"/>
      <c r="C417" s="26"/>
      <c r="D417" s="27" t="s">
        <v>1984</v>
      </c>
      <c r="E417" s="142" t="s">
        <v>1983</v>
      </c>
      <c r="F417" s="142"/>
      <c r="G417" s="27" t="s">
        <v>2151</v>
      </c>
      <c r="H417" s="34">
        <f>Gas!D34</f>
        <v>165000</v>
      </c>
      <c r="I417" s="34">
        <f>Gas!E34</f>
        <v>165000</v>
      </c>
      <c r="J417" s="37"/>
    </row>
    <row r="418" spans="1:10" ht="23.1" customHeight="1">
      <c r="A418" s="26"/>
      <c r="B418" s="26"/>
      <c r="C418" s="26"/>
      <c r="D418" s="27" t="s">
        <v>1986</v>
      </c>
      <c r="E418" s="142" t="s">
        <v>1985</v>
      </c>
      <c r="F418" s="142"/>
      <c r="G418" s="27" t="s">
        <v>2151</v>
      </c>
      <c r="H418" s="34">
        <f>Gas!D39</f>
        <v>245000</v>
      </c>
      <c r="I418" s="34">
        <f>Gas!E39</f>
        <v>245000</v>
      </c>
      <c r="J418" s="37"/>
    </row>
    <row r="419" spans="1:10" ht="23.1" customHeight="1">
      <c r="A419" s="26"/>
      <c r="B419" s="26"/>
      <c r="C419" s="26"/>
      <c r="D419" s="27" t="s">
        <v>1988</v>
      </c>
      <c r="E419" s="142" t="s">
        <v>1987</v>
      </c>
      <c r="F419" s="142"/>
      <c r="G419" s="27" t="s">
        <v>2151</v>
      </c>
      <c r="H419" s="34">
        <f>Gas!D39</f>
        <v>245000</v>
      </c>
      <c r="I419" s="34">
        <f>Gas!E39</f>
        <v>245000</v>
      </c>
      <c r="J419" s="37"/>
    </row>
    <row r="420" spans="1:10" ht="23.1" customHeight="1">
      <c r="A420" s="26"/>
      <c r="B420" s="26"/>
      <c r="C420" s="26"/>
      <c r="D420" s="27" t="s">
        <v>1990</v>
      </c>
      <c r="E420" s="142" t="s">
        <v>1989</v>
      </c>
      <c r="F420" s="142"/>
      <c r="G420" s="27" t="s">
        <v>2151</v>
      </c>
      <c r="H420" s="34">
        <f>Gas!D43</f>
        <v>850000</v>
      </c>
      <c r="I420" s="34">
        <f>Gas!E43</f>
        <v>0</v>
      </c>
      <c r="J420" s="37"/>
    </row>
    <row r="421" spans="1:10" ht="23.1" customHeight="1">
      <c r="A421" s="26"/>
      <c r="B421" s="26"/>
      <c r="C421" s="26"/>
      <c r="D421" s="27" t="s">
        <v>1992</v>
      </c>
      <c r="E421" s="142" t="s">
        <v>1991</v>
      </c>
      <c r="F421" s="142"/>
      <c r="G421" s="27" t="s">
        <v>2151</v>
      </c>
      <c r="H421" s="34">
        <f>Gas!D23</f>
        <v>515000</v>
      </c>
      <c r="I421" s="34">
        <f>Gas!E23</f>
        <v>515000</v>
      </c>
      <c r="J421" s="37"/>
    </row>
    <row r="422" spans="1:10" ht="23.1" customHeight="1">
      <c r="A422" s="26"/>
      <c r="B422" s="26"/>
      <c r="C422" s="26"/>
      <c r="D422" s="27" t="s">
        <v>1994</v>
      </c>
      <c r="E422" s="142" t="s">
        <v>1993</v>
      </c>
      <c r="F422" s="142"/>
      <c r="G422" s="27" t="s">
        <v>2151</v>
      </c>
      <c r="H422" s="34">
        <f>Gas!D26</f>
        <v>515000</v>
      </c>
      <c r="I422" s="34">
        <f>Gas!E26</f>
        <v>500000</v>
      </c>
      <c r="J422" s="37"/>
    </row>
    <row r="423" spans="1:10" ht="23.1" customHeight="1">
      <c r="A423" s="26"/>
      <c r="B423" s="26"/>
      <c r="C423" s="26"/>
      <c r="D423" s="27" t="s">
        <v>1996</v>
      </c>
      <c r="E423" s="142" t="s">
        <v>1995</v>
      </c>
      <c r="F423" s="142"/>
      <c r="G423" s="27" t="s">
        <v>2151</v>
      </c>
      <c r="H423" s="34">
        <f>Gas!D29</f>
        <v>515000</v>
      </c>
      <c r="I423" s="34">
        <f>Gas!E29</f>
        <v>500000</v>
      </c>
      <c r="J423" s="37"/>
    </row>
    <row r="424" spans="1:10" ht="23.1" customHeight="1">
      <c r="A424" s="26"/>
      <c r="B424" s="26"/>
      <c r="C424" s="26"/>
      <c r="D424" s="27" t="s">
        <v>1998</v>
      </c>
      <c r="E424" s="142" t="s">
        <v>1997</v>
      </c>
      <c r="F424" s="142"/>
      <c r="G424" s="27" t="s">
        <v>2151</v>
      </c>
      <c r="H424" s="34">
        <f>Gas!D32</f>
        <v>515000</v>
      </c>
      <c r="I424" s="34">
        <f>Gas!E32</f>
        <v>500000</v>
      </c>
      <c r="J424" s="37"/>
    </row>
    <row r="425" spans="1:10" ht="23.1" customHeight="1">
      <c r="A425" s="26"/>
      <c r="B425" s="26"/>
      <c r="C425" s="26"/>
      <c r="D425" s="27" t="s">
        <v>2000</v>
      </c>
      <c r="E425" s="142" t="s">
        <v>1999</v>
      </c>
      <c r="F425" s="142"/>
      <c r="G425" s="27" t="s">
        <v>2151</v>
      </c>
      <c r="H425" s="34">
        <f>Gas!D35</f>
        <v>515000</v>
      </c>
      <c r="I425" s="34">
        <f>Gas!E35</f>
        <v>500000</v>
      </c>
      <c r="J425" s="37"/>
    </row>
    <row r="426" spans="1:10" ht="23.1" customHeight="1">
      <c r="A426" s="26"/>
      <c r="B426" s="26"/>
      <c r="C426" s="26"/>
      <c r="D426" s="27" t="s">
        <v>2002</v>
      </c>
      <c r="E426" s="142" t="s">
        <v>2001</v>
      </c>
      <c r="F426" s="142"/>
      <c r="G426" s="27" t="s">
        <v>2151</v>
      </c>
      <c r="H426" s="34">
        <f>Gas!D40</f>
        <v>410000</v>
      </c>
      <c r="I426" s="34">
        <f>Gas!E40</f>
        <v>410000</v>
      </c>
      <c r="J426" s="37"/>
    </row>
    <row r="427" spans="1:10" ht="16.5" customHeight="1">
      <c r="A427" s="26"/>
      <c r="B427" s="26"/>
      <c r="C427" s="26"/>
      <c r="D427" s="27" t="s">
        <v>2004</v>
      </c>
      <c r="E427" s="142" t="s">
        <v>2003</v>
      </c>
      <c r="F427" s="142"/>
      <c r="G427" s="27" t="s">
        <v>2151</v>
      </c>
      <c r="H427" s="34">
        <f>Gas!D40</f>
        <v>410000</v>
      </c>
      <c r="I427" s="34">
        <f>Gas!E40</f>
        <v>410000</v>
      </c>
      <c r="J427" s="37"/>
    </row>
    <row r="428" spans="1:10" ht="23.1" customHeight="1">
      <c r="A428" s="26"/>
      <c r="B428" s="26"/>
      <c r="C428" s="26"/>
      <c r="D428" s="27" t="s">
        <v>2006</v>
      </c>
      <c r="E428" s="142" t="s">
        <v>2005</v>
      </c>
      <c r="F428" s="142"/>
      <c r="G428" s="27" t="s">
        <v>2151</v>
      </c>
      <c r="H428" s="34">
        <f>Gas!D44</f>
        <v>1650000</v>
      </c>
      <c r="I428" s="34">
        <f>Gas!E44</f>
        <v>0</v>
      </c>
      <c r="J428" s="37"/>
    </row>
    <row r="429" spans="1:10" ht="23.1" customHeight="1">
      <c r="A429" s="26"/>
      <c r="B429" s="26"/>
      <c r="C429" s="26"/>
      <c r="D429" s="27" t="s">
        <v>2013</v>
      </c>
      <c r="E429" s="142" t="s">
        <v>153</v>
      </c>
      <c r="F429" s="142"/>
      <c r="G429" s="27" t="s">
        <v>2151</v>
      </c>
      <c r="H429" s="34">
        <f>Gas!D43</f>
        <v>850000</v>
      </c>
      <c r="I429" s="34">
        <f>Gas!E43</f>
        <v>0</v>
      </c>
      <c r="J429" s="37"/>
    </row>
    <row r="430" spans="1:10" ht="23.1" customHeight="1">
      <c r="A430" s="26"/>
      <c r="B430" s="26"/>
      <c r="C430" s="26"/>
      <c r="D430" s="27" t="s">
        <v>2014</v>
      </c>
      <c r="E430" s="142" t="s">
        <v>39</v>
      </c>
      <c r="F430" s="142"/>
      <c r="G430" s="27" t="s">
        <v>2151</v>
      </c>
      <c r="H430" s="34">
        <f>Gas!D146</f>
        <v>150000</v>
      </c>
      <c r="I430" s="34">
        <f>Gas!E146</f>
        <v>175000</v>
      </c>
      <c r="J430" s="37"/>
    </row>
    <row r="431" spans="1:10" ht="23.1" customHeight="1">
      <c r="A431" s="26"/>
      <c r="B431" s="26"/>
      <c r="C431" s="26"/>
      <c r="D431" s="27" t="s">
        <v>2016</v>
      </c>
      <c r="E431" s="142" t="s">
        <v>2015</v>
      </c>
      <c r="F431" s="142"/>
      <c r="G431" s="27" t="s">
        <v>2151</v>
      </c>
      <c r="H431" s="34"/>
      <c r="I431" s="34"/>
      <c r="J431" s="37"/>
    </row>
    <row r="432" spans="1:10" ht="23.1" customHeight="1">
      <c r="A432" s="26"/>
      <c r="B432" s="26"/>
      <c r="C432" s="26"/>
      <c r="D432" s="27" t="s">
        <v>2018</v>
      </c>
      <c r="E432" s="142" t="s">
        <v>2017</v>
      </c>
      <c r="F432" s="142"/>
      <c r="G432" s="27" t="s">
        <v>2151</v>
      </c>
      <c r="H432" s="34">
        <v>0</v>
      </c>
      <c r="I432" s="34">
        <v>0</v>
      </c>
      <c r="J432" s="37"/>
    </row>
    <row r="433" spans="1:10" ht="23.1" customHeight="1">
      <c r="A433" s="26"/>
      <c r="B433" s="26"/>
      <c r="C433" s="26"/>
      <c r="D433" s="27" t="s">
        <v>2019</v>
      </c>
      <c r="E433" s="142" t="s">
        <v>256</v>
      </c>
      <c r="F433" s="142"/>
      <c r="G433" s="27" t="s">
        <v>2151</v>
      </c>
      <c r="H433" s="34">
        <f>Gas!D11</f>
        <v>550000</v>
      </c>
      <c r="I433" s="34">
        <f>Gas!E11</f>
        <v>550000</v>
      </c>
      <c r="J433" s="37"/>
    </row>
    <row r="434" spans="1:10" ht="23.1" customHeight="1">
      <c r="A434" s="26"/>
      <c r="B434" s="26"/>
      <c r="C434" s="26"/>
      <c r="D434" s="27" t="s">
        <v>2020</v>
      </c>
      <c r="E434" s="142" t="s">
        <v>10</v>
      </c>
      <c r="F434" s="142"/>
      <c r="G434" s="27" t="s">
        <v>2151</v>
      </c>
      <c r="H434" s="34">
        <f>Gas!D12</f>
        <v>775000</v>
      </c>
      <c r="I434" s="34">
        <f>Gas!E12</f>
        <v>775000</v>
      </c>
      <c r="J434" s="37"/>
    </row>
    <row r="435" spans="1:10" ht="23.1" customHeight="1">
      <c r="A435" s="26"/>
      <c r="B435" s="26"/>
      <c r="C435" s="26"/>
      <c r="D435" s="27" t="s">
        <v>2021</v>
      </c>
      <c r="E435" s="142" t="s">
        <v>242</v>
      </c>
      <c r="F435" s="142"/>
      <c r="G435" s="27" t="s">
        <v>2151</v>
      </c>
      <c r="H435" s="34">
        <f>Gas!D13</f>
        <v>1000000</v>
      </c>
      <c r="I435" s="34">
        <f>Gas!E13</f>
        <v>1000000</v>
      </c>
      <c r="J435" s="37"/>
    </row>
    <row r="436" spans="1:10" ht="23.1" customHeight="1">
      <c r="A436" s="26"/>
      <c r="B436" s="26"/>
      <c r="C436" s="26"/>
      <c r="D436" s="27" t="s">
        <v>2022</v>
      </c>
      <c r="E436" s="142" t="s">
        <v>267</v>
      </c>
      <c r="F436" s="142"/>
      <c r="G436" s="27" t="s">
        <v>2151</v>
      </c>
      <c r="H436" s="34">
        <f>Gas!D14</f>
        <v>600000</v>
      </c>
      <c r="I436" s="34">
        <f>Gas!E14</f>
        <v>600000</v>
      </c>
      <c r="J436" s="37"/>
    </row>
    <row r="437" spans="1:10" ht="23.1" customHeight="1">
      <c r="A437" s="26"/>
      <c r="B437" s="26"/>
      <c r="C437" s="26"/>
      <c r="D437" s="27" t="s">
        <v>2023</v>
      </c>
      <c r="E437" s="142" t="s">
        <v>11</v>
      </c>
      <c r="F437" s="142"/>
      <c r="G437" s="27" t="s">
        <v>2151</v>
      </c>
      <c r="H437" s="34">
        <f>Gas!D15</f>
        <v>850000</v>
      </c>
      <c r="I437" s="34">
        <f>Gas!E15</f>
        <v>850000</v>
      </c>
      <c r="J437" s="37"/>
    </row>
    <row r="438" spans="1:10" ht="23.1" customHeight="1">
      <c r="A438" s="26"/>
      <c r="B438" s="26"/>
      <c r="C438" s="26"/>
      <c r="D438" s="27" t="s">
        <v>2024</v>
      </c>
      <c r="E438" s="142" t="s">
        <v>255</v>
      </c>
      <c r="F438" s="142"/>
      <c r="G438" s="27" t="s">
        <v>2151</v>
      </c>
      <c r="H438" s="34">
        <f>Gas!D17</f>
        <v>1600000</v>
      </c>
      <c r="I438" s="34">
        <f>Gas!E17</f>
        <v>1600000</v>
      </c>
      <c r="J438" s="37"/>
    </row>
    <row r="439" spans="1:10" ht="23.1" customHeight="1">
      <c r="A439" s="26"/>
      <c r="B439" s="26"/>
      <c r="C439" s="26"/>
      <c r="D439" s="27" t="s">
        <v>2025</v>
      </c>
      <c r="E439" s="142" t="s">
        <v>154</v>
      </c>
      <c r="F439" s="142"/>
      <c r="G439" s="27" t="s">
        <v>2151</v>
      </c>
      <c r="H439" s="34">
        <f>Gas!D18</f>
        <v>385000</v>
      </c>
      <c r="I439" s="34">
        <f>Gas!E18</f>
        <v>520000</v>
      </c>
      <c r="J439" s="37"/>
    </row>
    <row r="440" spans="1:10" ht="23.1" customHeight="1">
      <c r="A440" s="26"/>
      <c r="B440" s="26"/>
      <c r="C440" s="26"/>
      <c r="D440" s="27" t="s">
        <v>2026</v>
      </c>
      <c r="E440" s="142" t="s">
        <v>88</v>
      </c>
      <c r="F440" s="142"/>
      <c r="G440" s="27" t="s">
        <v>2151</v>
      </c>
      <c r="H440" s="34">
        <f>Gas!D19</f>
        <v>425000</v>
      </c>
      <c r="I440" s="34">
        <f>Gas!E19</f>
        <v>557500</v>
      </c>
      <c r="J440" s="37"/>
    </row>
    <row r="441" spans="1:10" ht="23.1" customHeight="1">
      <c r="A441" s="26"/>
      <c r="B441" s="26"/>
      <c r="C441" s="26"/>
      <c r="D441" s="27" t="s">
        <v>2027</v>
      </c>
      <c r="E441" s="142" t="s">
        <v>155</v>
      </c>
      <c r="F441" s="142"/>
      <c r="G441" s="27" t="s">
        <v>2151</v>
      </c>
      <c r="H441" s="34">
        <f>Gas!D20</f>
        <v>580000</v>
      </c>
      <c r="I441" s="34">
        <f>Gas!E20</f>
        <v>595000</v>
      </c>
      <c r="J441" s="37"/>
    </row>
    <row r="442" spans="1:10" ht="23.1" customHeight="1">
      <c r="A442" s="26"/>
      <c r="B442" s="26"/>
      <c r="C442" s="26"/>
      <c r="D442" s="27" t="s">
        <v>2029</v>
      </c>
      <c r="E442" s="142" t="s">
        <v>2028</v>
      </c>
      <c r="F442" s="142"/>
      <c r="G442" s="27" t="s">
        <v>2151</v>
      </c>
      <c r="H442" s="34">
        <f>Gas!D5</f>
        <v>40000</v>
      </c>
      <c r="I442" s="34">
        <f>Gas!E5</f>
        <v>37500</v>
      </c>
      <c r="J442" s="37"/>
    </row>
    <row r="443" spans="1:10" ht="23.1" customHeight="1">
      <c r="A443" s="26"/>
      <c r="B443" s="26"/>
      <c r="C443" s="26"/>
      <c r="D443" s="27" t="s">
        <v>2030</v>
      </c>
      <c r="E443" s="142" t="s">
        <v>0</v>
      </c>
      <c r="F443" s="142"/>
      <c r="G443" s="27" t="s">
        <v>2151</v>
      </c>
      <c r="H443" s="34">
        <f>Gas!D5*4</f>
        <v>160000</v>
      </c>
      <c r="I443" s="34">
        <f>Gas!E5*4</f>
        <v>150000</v>
      </c>
      <c r="J443" s="37"/>
    </row>
    <row r="444" spans="1:10" ht="23.1" customHeight="1">
      <c r="A444" s="26"/>
      <c r="B444" s="26"/>
      <c r="C444" s="26"/>
      <c r="D444" s="27" t="s">
        <v>2031</v>
      </c>
      <c r="E444" s="142" t="s">
        <v>2329</v>
      </c>
      <c r="F444" s="142"/>
      <c r="G444" s="27" t="s">
        <v>2151</v>
      </c>
      <c r="H444" s="34">
        <f>Gas!D5*6</f>
        <v>240000</v>
      </c>
      <c r="I444" s="34">
        <f>Gas!E5*6</f>
        <v>225000</v>
      </c>
      <c r="J444" s="37"/>
    </row>
    <row r="445" spans="1:10" ht="23.1" customHeight="1">
      <c r="A445" s="26"/>
      <c r="B445" s="26"/>
      <c r="C445" s="26"/>
      <c r="D445" s="27" t="s">
        <v>2033</v>
      </c>
      <c r="E445" s="142" t="s">
        <v>2032</v>
      </c>
      <c r="F445" s="142"/>
      <c r="G445" s="27" t="s">
        <v>2151</v>
      </c>
      <c r="H445" s="34">
        <f>Gas!D85</f>
        <v>99000</v>
      </c>
      <c r="I445" s="34">
        <f>Gas!E85</f>
        <v>125000</v>
      </c>
      <c r="J445" s="37"/>
    </row>
    <row r="446" spans="1:10" ht="23.1" customHeight="1">
      <c r="A446" s="26"/>
      <c r="B446" s="26"/>
      <c r="C446" s="26"/>
      <c r="D446" s="27" t="s">
        <v>2035</v>
      </c>
      <c r="E446" s="142" t="s">
        <v>2034</v>
      </c>
      <c r="F446" s="142"/>
      <c r="G446" s="27" t="s">
        <v>2151</v>
      </c>
      <c r="H446" s="34">
        <f>Gas!D85</f>
        <v>99000</v>
      </c>
      <c r="I446" s="34">
        <f>Gas!E85</f>
        <v>125000</v>
      </c>
      <c r="J446" s="37"/>
    </row>
    <row r="447" spans="1:10" ht="23.1" customHeight="1">
      <c r="A447" s="26"/>
      <c r="B447" s="26"/>
      <c r="C447" s="26"/>
      <c r="D447" s="27" t="s">
        <v>2037</v>
      </c>
      <c r="E447" s="142" t="s">
        <v>2036</v>
      </c>
      <c r="F447" s="142"/>
      <c r="G447" s="27" t="s">
        <v>2151</v>
      </c>
      <c r="H447" s="34">
        <f>Gas!D89</f>
        <v>99000</v>
      </c>
      <c r="I447" s="34">
        <f>Gas!E89</f>
        <v>125000</v>
      </c>
      <c r="J447" s="37"/>
    </row>
    <row r="448" spans="1:10" ht="23.1" customHeight="1">
      <c r="A448" s="26"/>
      <c r="B448" s="26"/>
      <c r="C448" s="26"/>
      <c r="D448" s="27" t="s">
        <v>2039</v>
      </c>
      <c r="E448" s="142" t="s">
        <v>2038</v>
      </c>
      <c r="F448" s="142"/>
      <c r="G448" s="27" t="s">
        <v>2151</v>
      </c>
      <c r="H448" s="34">
        <f>Gas!D97</f>
        <v>125000</v>
      </c>
      <c r="I448" s="34">
        <f>Gas!E97</f>
        <v>150000</v>
      </c>
      <c r="J448" s="37"/>
    </row>
    <row r="449" spans="1:10" ht="23.1" customHeight="1">
      <c r="A449" s="26"/>
      <c r="B449" s="26"/>
      <c r="C449" s="26"/>
      <c r="D449" s="27" t="s">
        <v>2041</v>
      </c>
      <c r="E449" s="142" t="s">
        <v>2040</v>
      </c>
      <c r="F449" s="142"/>
      <c r="G449" s="27" t="s">
        <v>2151</v>
      </c>
      <c r="H449" s="34">
        <f>Gas!D100</f>
        <v>175000</v>
      </c>
      <c r="I449" s="34">
        <f>Gas!E100</f>
        <v>220000</v>
      </c>
      <c r="J449" s="37"/>
    </row>
    <row r="450" spans="1:10" ht="17.25" customHeight="1">
      <c r="A450" s="26"/>
      <c r="B450" s="26"/>
      <c r="C450" s="26"/>
      <c r="D450" s="27" t="s">
        <v>2043</v>
      </c>
      <c r="E450" s="142" t="s">
        <v>2042</v>
      </c>
      <c r="F450" s="142"/>
      <c r="G450" s="27" t="s">
        <v>2151</v>
      </c>
      <c r="H450" s="34">
        <f>Gas!D103</f>
        <v>200000</v>
      </c>
      <c r="I450" s="34">
        <f>Gas!E103</f>
        <v>225000</v>
      </c>
      <c r="J450" s="37"/>
    </row>
    <row r="451" spans="1:10" ht="23.1" customHeight="1">
      <c r="A451" s="26"/>
      <c r="B451" s="26"/>
      <c r="C451" s="26"/>
      <c r="D451" s="27" t="s">
        <v>2045</v>
      </c>
      <c r="E451" s="142" t="s">
        <v>2044</v>
      </c>
      <c r="F451" s="142"/>
      <c r="G451" s="27" t="s">
        <v>2151</v>
      </c>
      <c r="H451" s="34">
        <f>Gas!D91</f>
        <v>0</v>
      </c>
      <c r="I451" s="34">
        <f>Gas!E91</f>
        <v>0</v>
      </c>
      <c r="J451" s="37"/>
    </row>
    <row r="452" spans="1:10" ht="23.1" customHeight="1">
      <c r="A452" s="26"/>
      <c r="B452" s="26"/>
      <c r="C452" s="26"/>
      <c r="D452" s="27" t="s">
        <v>2047</v>
      </c>
      <c r="E452" s="142" t="s">
        <v>2046</v>
      </c>
      <c r="F452" s="142"/>
      <c r="G452" s="27" t="s">
        <v>2151</v>
      </c>
      <c r="H452" s="34">
        <f>Gas!D87</f>
        <v>0</v>
      </c>
      <c r="I452" s="34">
        <f>Gas!E87</f>
        <v>0</v>
      </c>
      <c r="J452" s="37"/>
    </row>
    <row r="453" spans="1:10" ht="23.1" customHeight="1">
      <c r="A453" s="26"/>
      <c r="B453" s="26"/>
      <c r="C453" s="26"/>
      <c r="D453" s="27" t="s">
        <v>2049</v>
      </c>
      <c r="E453" s="142" t="s">
        <v>2048</v>
      </c>
      <c r="F453" s="142"/>
      <c r="G453" s="27" t="s">
        <v>2151</v>
      </c>
      <c r="H453" s="34">
        <f>Gas!D95</f>
        <v>0</v>
      </c>
      <c r="I453" s="34">
        <f>Gas!E95</f>
        <v>0</v>
      </c>
      <c r="J453" s="37"/>
    </row>
    <row r="454" spans="1:10" ht="23.1" customHeight="1">
      <c r="A454" s="26"/>
      <c r="B454" s="26"/>
      <c r="C454" s="26"/>
      <c r="D454" s="27" t="s">
        <v>2051</v>
      </c>
      <c r="E454" s="142" t="s">
        <v>2050</v>
      </c>
      <c r="F454" s="142"/>
      <c r="G454" s="27" t="s">
        <v>2151</v>
      </c>
      <c r="H454" s="34">
        <f>Gas!D90</f>
        <v>0</v>
      </c>
      <c r="I454" s="34">
        <f>Gas!E90</f>
        <v>0</v>
      </c>
      <c r="J454" s="37"/>
    </row>
    <row r="455" spans="1:10" ht="23.1" customHeight="1">
      <c r="A455" s="26"/>
      <c r="B455" s="26"/>
      <c r="C455" s="26"/>
      <c r="D455" s="27" t="s">
        <v>2053</v>
      </c>
      <c r="E455" s="142" t="s">
        <v>2052</v>
      </c>
      <c r="F455" s="142"/>
      <c r="G455" s="27" t="s">
        <v>2151</v>
      </c>
      <c r="H455" s="34">
        <f>Gas!D98</f>
        <v>0</v>
      </c>
      <c r="I455" s="34">
        <f>Gas!E98</f>
        <v>0</v>
      </c>
      <c r="J455" s="37"/>
    </row>
    <row r="456" spans="1:10" ht="23.1" customHeight="1">
      <c r="A456" s="26"/>
      <c r="B456" s="26"/>
      <c r="C456" s="26"/>
      <c r="D456" s="27" t="s">
        <v>2055</v>
      </c>
      <c r="E456" s="142" t="s">
        <v>2054</v>
      </c>
      <c r="F456" s="142"/>
      <c r="G456" s="27" t="s">
        <v>2151</v>
      </c>
      <c r="H456" s="34">
        <f>Gas!D101</f>
        <v>475000</v>
      </c>
      <c r="I456" s="34">
        <f>Gas!E101</f>
        <v>360000</v>
      </c>
      <c r="J456" s="37"/>
    </row>
    <row r="457" spans="1:10" ht="23.1" customHeight="1">
      <c r="A457" s="26"/>
      <c r="B457" s="26"/>
      <c r="C457" s="26"/>
      <c r="D457" s="27" t="s">
        <v>2057</v>
      </c>
      <c r="E457" s="142" t="s">
        <v>2056</v>
      </c>
      <c r="F457" s="142"/>
      <c r="G457" s="27" t="s">
        <v>2151</v>
      </c>
      <c r="H457" s="34">
        <f>Gas!D104</f>
        <v>375000</v>
      </c>
      <c r="I457" s="34">
        <f>Gas!E104</f>
        <v>375000</v>
      </c>
      <c r="J457" s="37"/>
    </row>
    <row r="458" spans="1:10" ht="23.1" customHeight="1">
      <c r="A458" s="26"/>
      <c r="B458" s="26"/>
      <c r="C458" s="26"/>
      <c r="D458" s="27" t="s">
        <v>2059</v>
      </c>
      <c r="E458" s="142" t="s">
        <v>2058</v>
      </c>
      <c r="F458" s="142"/>
      <c r="G458" s="27" t="s">
        <v>2151</v>
      </c>
      <c r="H458" s="34">
        <f>Gas!D86</f>
        <v>500000</v>
      </c>
      <c r="I458" s="34">
        <f>Gas!E86</f>
        <v>500000</v>
      </c>
      <c r="J458" s="37"/>
    </row>
    <row r="459" spans="1:10" ht="23.1" customHeight="1">
      <c r="A459" s="26"/>
      <c r="B459" s="26"/>
      <c r="C459" s="26"/>
      <c r="D459" s="27" t="s">
        <v>2061</v>
      </c>
      <c r="E459" s="142" t="s">
        <v>2060</v>
      </c>
      <c r="F459" s="142"/>
      <c r="G459" s="27" t="s">
        <v>2151</v>
      </c>
      <c r="H459" s="34">
        <f>Gas!D77</f>
        <v>0</v>
      </c>
      <c r="I459" s="34">
        <f>Gas!E77</f>
        <v>0</v>
      </c>
      <c r="J459" s="37"/>
    </row>
    <row r="460" spans="1:10" ht="23.1" customHeight="1">
      <c r="A460" s="26"/>
      <c r="B460" s="26"/>
      <c r="C460" s="26"/>
      <c r="D460" s="27" t="s">
        <v>2063</v>
      </c>
      <c r="E460" s="142" t="s">
        <v>2062</v>
      </c>
      <c r="F460" s="142"/>
      <c r="G460" s="27" t="s">
        <v>2151</v>
      </c>
      <c r="H460" s="34">
        <f>Gas!D96</f>
        <v>500000</v>
      </c>
      <c r="I460" s="34">
        <f>Gas!E96</f>
        <v>500000</v>
      </c>
      <c r="J460" s="37"/>
    </row>
    <row r="461" spans="1:10" ht="23.1" customHeight="1">
      <c r="A461" s="26"/>
      <c r="B461" s="26"/>
      <c r="C461" s="26"/>
      <c r="D461" s="27" t="s">
        <v>2065</v>
      </c>
      <c r="E461" s="142" t="s">
        <v>2064</v>
      </c>
      <c r="F461" s="142"/>
      <c r="G461" s="27" t="s">
        <v>2151</v>
      </c>
      <c r="H461" s="34">
        <f>Gas!D99</f>
        <v>500000</v>
      </c>
      <c r="I461" s="34">
        <f>Gas!E99</f>
        <v>500000</v>
      </c>
      <c r="J461" s="37"/>
    </row>
    <row r="462" spans="1:10" ht="23.1" customHeight="1">
      <c r="A462" s="26"/>
      <c r="B462" s="26"/>
      <c r="C462" s="26"/>
      <c r="D462" s="27" t="s">
        <v>2067</v>
      </c>
      <c r="E462" s="142" t="s">
        <v>2066</v>
      </c>
      <c r="F462" s="142"/>
      <c r="G462" s="27" t="s">
        <v>2151</v>
      </c>
      <c r="H462" s="34">
        <f>Gas!D102</f>
        <v>650000</v>
      </c>
      <c r="I462" s="34">
        <f>Gas!E102</f>
        <v>650000</v>
      </c>
      <c r="J462" s="37"/>
    </row>
    <row r="463" spans="1:10" ht="23.1" customHeight="1">
      <c r="A463" s="26"/>
      <c r="B463" s="26"/>
      <c r="C463" s="26"/>
      <c r="D463" s="27" t="s">
        <v>2069</v>
      </c>
      <c r="E463" s="142" t="s">
        <v>2068</v>
      </c>
      <c r="F463" s="142"/>
      <c r="G463" s="27" t="s">
        <v>2151</v>
      </c>
      <c r="H463" s="34">
        <f>Gas!D105</f>
        <v>0</v>
      </c>
      <c r="I463" s="34">
        <f>Gas!E105</f>
        <v>0</v>
      </c>
      <c r="J463" s="37"/>
    </row>
    <row r="464" spans="1:10" ht="23.1" customHeight="1">
      <c r="A464" s="26"/>
      <c r="B464" s="26"/>
      <c r="C464" s="26"/>
      <c r="D464" s="27" t="s">
        <v>2071</v>
      </c>
      <c r="E464" s="142" t="s">
        <v>2070</v>
      </c>
      <c r="F464" s="142"/>
      <c r="G464" s="27" t="s">
        <v>2151</v>
      </c>
      <c r="H464" s="34">
        <f>Gas!D92</f>
        <v>1650000</v>
      </c>
      <c r="I464" s="34">
        <f>Gas!E92</f>
        <v>0</v>
      </c>
      <c r="J464" s="37"/>
    </row>
    <row r="465" spans="1:10" ht="23.1" customHeight="1">
      <c r="A465" s="26"/>
      <c r="B465" s="26"/>
      <c r="C465" s="26"/>
      <c r="D465" s="27" t="s">
        <v>2073</v>
      </c>
      <c r="E465" s="142" t="s">
        <v>2072</v>
      </c>
      <c r="F465" s="142"/>
      <c r="G465" s="27" t="s">
        <v>2151</v>
      </c>
      <c r="H465" s="34">
        <f>Gas!D93</f>
        <v>0</v>
      </c>
      <c r="I465" s="34">
        <f>Gas!E93</f>
        <v>0</v>
      </c>
      <c r="J465" s="37"/>
    </row>
    <row r="466" spans="1:10" ht="14.1" customHeight="1">
      <c r="A466" s="26"/>
      <c r="B466" s="26"/>
      <c r="C466" s="26"/>
      <c r="D466" s="27" t="s">
        <v>2328</v>
      </c>
      <c r="E466" s="142" t="s">
        <v>2327</v>
      </c>
      <c r="F466" s="142"/>
      <c r="G466" s="27" t="s">
        <v>2151</v>
      </c>
      <c r="H466" s="34">
        <f>Gas!D74</f>
        <v>0</v>
      </c>
      <c r="I466" s="34">
        <f>Gas!E74</f>
        <v>0</v>
      </c>
      <c r="J466" s="37"/>
    </row>
    <row r="467" spans="1:10" ht="14.1" customHeight="1">
      <c r="A467" s="26"/>
      <c r="B467" s="26"/>
      <c r="C467" s="26"/>
      <c r="D467" s="27" t="s">
        <v>2326</v>
      </c>
      <c r="E467" s="142" t="s">
        <v>2325</v>
      </c>
      <c r="F467" s="142"/>
      <c r="G467" s="27" t="s">
        <v>2151</v>
      </c>
      <c r="H467" s="34"/>
      <c r="I467" s="34"/>
      <c r="J467" s="37"/>
    </row>
    <row r="468" spans="1:10" ht="23.1" customHeight="1">
      <c r="A468" s="26"/>
      <c r="B468" s="26"/>
      <c r="C468" s="26"/>
      <c r="D468" s="27" t="s">
        <v>2324</v>
      </c>
      <c r="E468" s="142" t="s">
        <v>2323</v>
      </c>
      <c r="F468" s="142"/>
      <c r="G468" s="27" t="s">
        <v>2151</v>
      </c>
      <c r="H468" s="34"/>
      <c r="I468" s="34"/>
      <c r="J468" s="37"/>
    </row>
    <row r="469" spans="1:10" ht="14.1" customHeight="1">
      <c r="A469" s="26"/>
      <c r="B469" s="26"/>
      <c r="C469" s="26"/>
      <c r="D469" s="27" t="s">
        <v>2322</v>
      </c>
      <c r="E469" s="142" t="s">
        <v>2321</v>
      </c>
      <c r="F469" s="142"/>
      <c r="G469" s="27" t="s">
        <v>2151</v>
      </c>
      <c r="H469" s="34">
        <f>Gas!D40</f>
        <v>410000</v>
      </c>
      <c r="I469" s="34">
        <f>Gas!E40</f>
        <v>410000</v>
      </c>
      <c r="J469" s="37"/>
    </row>
    <row r="470" spans="1:10" ht="23.1" customHeight="1">
      <c r="A470" s="26"/>
      <c r="B470" s="26"/>
      <c r="C470" s="26"/>
      <c r="D470" s="27" t="s">
        <v>2320</v>
      </c>
      <c r="E470" s="142" t="s">
        <v>2319</v>
      </c>
      <c r="F470" s="142"/>
      <c r="G470" s="27" t="s">
        <v>2151</v>
      </c>
      <c r="H470" s="34">
        <f>Gas!D117</f>
        <v>400000</v>
      </c>
      <c r="I470" s="34">
        <f>Gas!E117</f>
        <v>400000</v>
      </c>
      <c r="J470" s="37"/>
    </row>
    <row r="471" spans="1:10" ht="14.1" customHeight="1">
      <c r="A471" s="26"/>
      <c r="B471" s="26"/>
      <c r="C471" s="26"/>
      <c r="D471" s="27" t="s">
        <v>2318</v>
      </c>
      <c r="E471" s="142" t="s">
        <v>2317</v>
      </c>
      <c r="F471" s="142"/>
      <c r="G471" s="27" t="s">
        <v>2184</v>
      </c>
      <c r="H471" s="34"/>
      <c r="I471" s="34"/>
      <c r="J471" s="37"/>
    </row>
    <row r="472" spans="1:10" ht="14.1" customHeight="1">
      <c r="A472" s="26"/>
      <c r="B472" s="26"/>
      <c r="C472" s="26"/>
      <c r="D472" s="27" t="s">
        <v>2316</v>
      </c>
      <c r="E472" s="142" t="s">
        <v>2315</v>
      </c>
      <c r="F472" s="142"/>
      <c r="G472" s="27" t="s">
        <v>2184</v>
      </c>
      <c r="H472" s="34"/>
      <c r="I472" s="34"/>
      <c r="J472" s="37"/>
    </row>
    <row r="473" spans="1:10" ht="14.1" customHeight="1">
      <c r="A473" s="26"/>
      <c r="B473" s="26"/>
      <c r="C473" s="26"/>
      <c r="D473" s="27" t="s">
        <v>2314</v>
      </c>
      <c r="E473" s="142" t="s">
        <v>2313</v>
      </c>
      <c r="F473" s="142"/>
      <c r="G473" s="27" t="s">
        <v>2184</v>
      </c>
      <c r="H473" s="34"/>
      <c r="I473" s="34"/>
      <c r="J473" s="37"/>
    </row>
    <row r="474" spans="1:10" ht="14.1" customHeight="1">
      <c r="A474" s="26"/>
      <c r="B474" s="26"/>
      <c r="C474" s="26"/>
      <c r="D474" s="27" t="s">
        <v>2312</v>
      </c>
      <c r="E474" s="142" t="s">
        <v>2311</v>
      </c>
      <c r="F474" s="142"/>
      <c r="G474" s="27" t="s">
        <v>2184</v>
      </c>
      <c r="H474" s="34"/>
      <c r="I474" s="34"/>
      <c r="J474" s="37"/>
    </row>
    <row r="475" spans="1:10" ht="23.1" customHeight="1">
      <c r="A475" s="26"/>
      <c r="B475" s="26"/>
      <c r="C475" s="26"/>
      <c r="D475" s="27" t="s">
        <v>2310</v>
      </c>
      <c r="E475" s="142" t="s">
        <v>2309</v>
      </c>
      <c r="F475" s="142"/>
      <c r="G475" s="27" t="s">
        <v>2184</v>
      </c>
      <c r="H475" s="34"/>
      <c r="I475" s="34"/>
      <c r="J475" s="37"/>
    </row>
    <row r="476" spans="1:10" ht="23.1" customHeight="1">
      <c r="A476" s="26"/>
      <c r="B476" s="26"/>
      <c r="C476" s="26"/>
      <c r="D476" s="27" t="s">
        <v>2308</v>
      </c>
      <c r="E476" s="142" t="s">
        <v>2307</v>
      </c>
      <c r="F476" s="142"/>
      <c r="G476" s="27" t="s">
        <v>2184</v>
      </c>
      <c r="H476" s="34"/>
      <c r="I476" s="34"/>
      <c r="J476" s="37"/>
    </row>
    <row r="477" spans="1:10" ht="20.25" customHeight="1">
      <c r="A477" s="26"/>
      <c r="B477" s="26"/>
      <c r="C477" s="26"/>
      <c r="D477" s="27" t="s">
        <v>2306</v>
      </c>
      <c r="E477" s="142" t="s">
        <v>2305</v>
      </c>
      <c r="F477" s="142"/>
      <c r="G477" s="27" t="s">
        <v>2184</v>
      </c>
      <c r="H477" s="34"/>
      <c r="I477" s="34"/>
      <c r="J477" s="37"/>
    </row>
    <row r="478" spans="1:10" ht="23.1" customHeight="1">
      <c r="A478" s="26"/>
      <c r="B478" s="26"/>
      <c r="C478" s="26"/>
      <c r="D478" s="27" t="s">
        <v>2304</v>
      </c>
      <c r="E478" s="142" t="s">
        <v>2303</v>
      </c>
      <c r="F478" s="142"/>
      <c r="G478" s="27" t="s">
        <v>2184</v>
      </c>
      <c r="H478" s="34"/>
      <c r="I478" s="34"/>
      <c r="J478" s="37"/>
    </row>
    <row r="479" spans="1:10" ht="23.1" customHeight="1">
      <c r="A479" s="26"/>
      <c r="B479" s="26"/>
      <c r="C479" s="26"/>
      <c r="D479" s="27" t="s">
        <v>2302</v>
      </c>
      <c r="E479" s="142" t="s">
        <v>2301</v>
      </c>
      <c r="F479" s="142"/>
      <c r="G479" s="27" t="s">
        <v>2184</v>
      </c>
      <c r="H479" s="34"/>
      <c r="I479" s="34"/>
      <c r="J479" s="37"/>
    </row>
    <row r="480" spans="1:10" ht="23.1" customHeight="1">
      <c r="A480" s="26"/>
      <c r="B480" s="26"/>
      <c r="C480" s="26"/>
      <c r="D480" s="27" t="s">
        <v>2300</v>
      </c>
      <c r="E480" s="142" t="s">
        <v>2299</v>
      </c>
      <c r="F480" s="142"/>
      <c r="G480" s="27" t="s">
        <v>2184</v>
      </c>
      <c r="H480" s="34"/>
      <c r="I480" s="34"/>
      <c r="J480" s="37"/>
    </row>
    <row r="481" spans="1:10" ht="23.1" customHeight="1">
      <c r="A481" s="26"/>
      <c r="B481" s="26"/>
      <c r="C481" s="26"/>
      <c r="D481" s="27" t="s">
        <v>2298</v>
      </c>
      <c r="E481" s="142" t="s">
        <v>2297</v>
      </c>
      <c r="F481" s="142"/>
      <c r="G481" s="27" t="s">
        <v>2184</v>
      </c>
      <c r="H481" s="34"/>
      <c r="I481" s="34"/>
      <c r="J481" s="37"/>
    </row>
    <row r="482" spans="1:10" ht="23.1" customHeight="1">
      <c r="A482" s="26"/>
      <c r="B482" s="26"/>
      <c r="C482" s="26"/>
      <c r="D482" s="27" t="s">
        <v>2296</v>
      </c>
      <c r="E482" s="142" t="s">
        <v>2295</v>
      </c>
      <c r="F482" s="142"/>
      <c r="G482" s="27" t="s">
        <v>2184</v>
      </c>
      <c r="H482" s="34"/>
      <c r="I482" s="34"/>
      <c r="J482" s="37"/>
    </row>
    <row r="483" spans="1:10" ht="23.1" customHeight="1">
      <c r="A483" s="26"/>
      <c r="B483" s="26"/>
      <c r="C483" s="26"/>
      <c r="D483" s="27" t="s">
        <v>2294</v>
      </c>
      <c r="E483" s="142" t="s">
        <v>2293</v>
      </c>
      <c r="F483" s="142"/>
      <c r="G483" s="27" t="s">
        <v>2184</v>
      </c>
      <c r="H483" s="34"/>
      <c r="I483" s="34"/>
      <c r="J483" s="37"/>
    </row>
    <row r="484" spans="1:10" ht="14.1" customHeight="1">
      <c r="A484" s="26"/>
      <c r="B484" s="26"/>
      <c r="C484" s="26"/>
      <c r="D484" s="27" t="s">
        <v>2292</v>
      </c>
      <c r="E484" s="142" t="s">
        <v>2291</v>
      </c>
      <c r="F484" s="142"/>
      <c r="G484" s="27" t="s">
        <v>2184</v>
      </c>
      <c r="H484" s="34"/>
      <c r="I484" s="34"/>
      <c r="J484" s="37"/>
    </row>
    <row r="485" spans="1:10" ht="14.1" customHeight="1">
      <c r="A485" s="26"/>
      <c r="B485" s="26"/>
      <c r="C485" s="26"/>
      <c r="D485" s="27" t="s">
        <v>2290</v>
      </c>
      <c r="E485" s="142" t="s">
        <v>2289</v>
      </c>
      <c r="F485" s="142"/>
      <c r="G485" s="27" t="s">
        <v>2184</v>
      </c>
      <c r="H485" s="34"/>
      <c r="I485" s="34"/>
      <c r="J485" s="37"/>
    </row>
    <row r="486" spans="1:10" ht="14.1" customHeight="1">
      <c r="A486" s="26"/>
      <c r="B486" s="26"/>
      <c r="C486" s="26"/>
      <c r="D486" s="27" t="s">
        <v>2288</v>
      </c>
      <c r="E486" s="142" t="s">
        <v>2287</v>
      </c>
      <c r="F486" s="142"/>
      <c r="G486" s="27" t="s">
        <v>2184</v>
      </c>
      <c r="H486" s="34"/>
      <c r="I486" s="34"/>
      <c r="J486" s="37"/>
    </row>
    <row r="487" spans="1:10" ht="14.1" customHeight="1">
      <c r="A487" s="26"/>
      <c r="B487" s="26"/>
      <c r="C487" s="26"/>
      <c r="D487" s="27" t="s">
        <v>2286</v>
      </c>
      <c r="E487" s="142" t="s">
        <v>2285</v>
      </c>
      <c r="F487" s="142"/>
      <c r="G487" s="27" t="s">
        <v>2184</v>
      </c>
      <c r="H487" s="34"/>
      <c r="I487" s="34"/>
      <c r="J487" s="37"/>
    </row>
    <row r="488" spans="1:10" ht="14.1" customHeight="1">
      <c r="A488" s="26"/>
      <c r="B488" s="26"/>
      <c r="C488" s="26"/>
      <c r="D488" s="27" t="s">
        <v>2284</v>
      </c>
      <c r="E488" s="142" t="s">
        <v>2283</v>
      </c>
      <c r="F488" s="142"/>
      <c r="G488" s="27" t="s">
        <v>2184</v>
      </c>
      <c r="H488" s="34"/>
      <c r="I488" s="34"/>
      <c r="J488" s="37"/>
    </row>
    <row r="489" spans="1:10" ht="14.1" customHeight="1">
      <c r="A489" s="26"/>
      <c r="B489" s="26"/>
      <c r="C489" s="26"/>
      <c r="D489" s="27" t="s">
        <v>2282</v>
      </c>
      <c r="E489" s="142" t="s">
        <v>2281</v>
      </c>
      <c r="F489" s="142"/>
      <c r="G489" s="27" t="s">
        <v>2184</v>
      </c>
      <c r="H489" s="34"/>
      <c r="I489" s="34"/>
      <c r="J489" s="37"/>
    </row>
    <row r="490" spans="1:10" ht="14.1" customHeight="1">
      <c r="A490" s="26"/>
      <c r="B490" s="26"/>
      <c r="C490" s="26"/>
      <c r="D490" s="27" t="s">
        <v>2280</v>
      </c>
      <c r="E490" s="142" t="s">
        <v>2279</v>
      </c>
      <c r="F490" s="142"/>
      <c r="G490" s="27" t="s">
        <v>2184</v>
      </c>
      <c r="H490" s="34"/>
      <c r="I490" s="34"/>
      <c r="J490" s="37"/>
    </row>
    <row r="491" spans="1:10" ht="23.1" customHeight="1">
      <c r="A491" s="26"/>
      <c r="B491" s="26"/>
      <c r="C491" s="26"/>
      <c r="D491" s="27" t="s">
        <v>2278</v>
      </c>
      <c r="E491" s="142" t="s">
        <v>2277</v>
      </c>
      <c r="F491" s="142"/>
      <c r="G491" s="27" t="s">
        <v>2184</v>
      </c>
      <c r="H491" s="34"/>
      <c r="I491" s="34"/>
      <c r="J491" s="37"/>
    </row>
    <row r="492" spans="1:10" ht="14.1" customHeight="1">
      <c r="A492" s="26"/>
      <c r="B492" s="26"/>
      <c r="C492" s="26"/>
      <c r="D492" s="27" t="s">
        <v>2276</v>
      </c>
      <c r="E492" s="142" t="s">
        <v>2275</v>
      </c>
      <c r="F492" s="142"/>
      <c r="G492" s="27" t="s">
        <v>2184</v>
      </c>
      <c r="H492" s="34"/>
      <c r="I492" s="34"/>
      <c r="J492" s="37"/>
    </row>
    <row r="493" spans="1:10" ht="14.1" customHeight="1">
      <c r="A493" s="26"/>
      <c r="B493" s="26"/>
      <c r="C493" s="26"/>
      <c r="D493" s="27" t="s">
        <v>2274</v>
      </c>
      <c r="E493" s="142" t="s">
        <v>2273</v>
      </c>
      <c r="F493" s="142"/>
      <c r="G493" s="27" t="s">
        <v>2184</v>
      </c>
      <c r="H493" s="34"/>
      <c r="I493" s="34"/>
      <c r="J493" s="37"/>
    </row>
    <row r="494" spans="1:10" ht="14.1" customHeight="1">
      <c r="A494" s="26"/>
      <c r="B494" s="26"/>
      <c r="C494" s="26"/>
      <c r="D494" s="27" t="s">
        <v>2272</v>
      </c>
      <c r="E494" s="142" t="s">
        <v>2271</v>
      </c>
      <c r="F494" s="142"/>
      <c r="G494" s="27" t="s">
        <v>2184</v>
      </c>
      <c r="H494" s="34"/>
      <c r="I494" s="34"/>
      <c r="J494" s="37"/>
    </row>
    <row r="495" spans="1:10" ht="14.1" customHeight="1">
      <c r="A495" s="26"/>
      <c r="B495" s="26"/>
      <c r="C495" s="26"/>
      <c r="D495" s="27" t="s">
        <v>2270</v>
      </c>
      <c r="E495" s="142" t="s">
        <v>2269</v>
      </c>
      <c r="F495" s="142"/>
      <c r="G495" s="27" t="s">
        <v>2184</v>
      </c>
      <c r="H495" s="34"/>
      <c r="I495" s="34"/>
      <c r="J495" s="37"/>
    </row>
    <row r="496" spans="1:10" ht="23.1" customHeight="1">
      <c r="A496" s="26"/>
      <c r="B496" s="26"/>
      <c r="C496" s="26"/>
      <c r="D496" s="27" t="s">
        <v>2268</v>
      </c>
      <c r="E496" s="142" t="s">
        <v>2267</v>
      </c>
      <c r="F496" s="142"/>
      <c r="G496" s="27" t="s">
        <v>2184</v>
      </c>
      <c r="H496" s="34"/>
      <c r="I496" s="34"/>
      <c r="J496" s="37"/>
    </row>
    <row r="497" spans="1:10" ht="23.1" customHeight="1">
      <c r="A497" s="26"/>
      <c r="B497" s="26"/>
      <c r="C497" s="26"/>
      <c r="D497" s="27" t="s">
        <v>2266</v>
      </c>
      <c r="E497" s="142" t="s">
        <v>2265</v>
      </c>
      <c r="F497" s="142"/>
      <c r="G497" s="27" t="s">
        <v>2184</v>
      </c>
      <c r="H497" s="34"/>
      <c r="I497" s="34"/>
      <c r="J497" s="37"/>
    </row>
    <row r="498" spans="1:10" ht="14.1" customHeight="1">
      <c r="A498" s="26"/>
      <c r="B498" s="26"/>
      <c r="C498" s="26"/>
      <c r="D498" s="27" t="s">
        <v>2264</v>
      </c>
      <c r="E498" s="142" t="s">
        <v>2263</v>
      </c>
      <c r="F498" s="142"/>
      <c r="G498" s="27" t="s">
        <v>2184</v>
      </c>
      <c r="H498" s="34"/>
      <c r="I498" s="34"/>
      <c r="J498" s="37"/>
    </row>
    <row r="499" spans="1:10" ht="14.1" customHeight="1">
      <c r="A499" s="26"/>
      <c r="B499" s="26"/>
      <c r="C499" s="26"/>
      <c r="D499" s="27" t="s">
        <v>2262</v>
      </c>
      <c r="E499" s="142" t="s">
        <v>2261</v>
      </c>
      <c r="F499" s="142"/>
      <c r="G499" s="27" t="s">
        <v>2184</v>
      </c>
      <c r="H499" s="34"/>
      <c r="I499" s="34"/>
      <c r="J499" s="37"/>
    </row>
    <row r="500" spans="1:10" ht="14.1" customHeight="1">
      <c r="A500" s="26"/>
      <c r="B500" s="26"/>
      <c r="C500" s="26"/>
      <c r="D500" s="27" t="s">
        <v>2260</v>
      </c>
      <c r="E500" s="142" t="s">
        <v>2259</v>
      </c>
      <c r="F500" s="142"/>
      <c r="G500" s="27" t="s">
        <v>2184</v>
      </c>
      <c r="H500" s="34"/>
      <c r="I500" s="34"/>
      <c r="J500" s="37"/>
    </row>
    <row r="501" spans="1:10" ht="14.1" customHeight="1">
      <c r="A501" s="26"/>
      <c r="B501" s="26"/>
      <c r="C501" s="26"/>
      <c r="D501" s="27" t="s">
        <v>2258</v>
      </c>
      <c r="E501" s="142" t="s">
        <v>2257</v>
      </c>
      <c r="F501" s="142"/>
      <c r="G501" s="27" t="s">
        <v>2184</v>
      </c>
      <c r="H501" s="34"/>
      <c r="I501" s="34"/>
      <c r="J501" s="37"/>
    </row>
    <row r="502" spans="1:10" ht="14.1" customHeight="1">
      <c r="A502" s="26"/>
      <c r="B502" s="26"/>
      <c r="C502" s="26"/>
      <c r="D502" s="27" t="s">
        <v>2256</v>
      </c>
      <c r="E502" s="142" t="s">
        <v>2255</v>
      </c>
      <c r="F502" s="142"/>
      <c r="G502" s="27" t="s">
        <v>2184</v>
      </c>
      <c r="H502" s="34"/>
      <c r="I502" s="34"/>
      <c r="J502" s="37"/>
    </row>
    <row r="503" spans="1:10" ht="14.1" customHeight="1">
      <c r="A503" s="26"/>
      <c r="B503" s="26"/>
      <c r="C503" s="26"/>
      <c r="D503" s="27" t="s">
        <v>2254</v>
      </c>
      <c r="E503" s="142" t="s">
        <v>2253</v>
      </c>
      <c r="F503" s="142"/>
      <c r="G503" s="27" t="s">
        <v>2184</v>
      </c>
      <c r="H503" s="34"/>
      <c r="I503" s="34"/>
      <c r="J503" s="37"/>
    </row>
    <row r="504" spans="1:10" ht="14.1" customHeight="1">
      <c r="A504" s="26"/>
      <c r="B504" s="26"/>
      <c r="C504" s="26"/>
      <c r="D504" s="27" t="s">
        <v>2252</v>
      </c>
      <c r="E504" s="142" t="s">
        <v>2251</v>
      </c>
      <c r="F504" s="142"/>
      <c r="G504" s="27" t="s">
        <v>2184</v>
      </c>
      <c r="H504" s="34"/>
      <c r="I504" s="34"/>
      <c r="J504" s="37"/>
    </row>
    <row r="505" spans="1:10" ht="14.1" customHeight="1">
      <c r="A505" s="26"/>
      <c r="B505" s="26"/>
      <c r="C505" s="26"/>
      <c r="D505" s="27" t="s">
        <v>2250</v>
      </c>
      <c r="E505" s="142" t="s">
        <v>2249</v>
      </c>
      <c r="F505" s="142"/>
      <c r="G505" s="27" t="s">
        <v>2184</v>
      </c>
      <c r="H505" s="34"/>
      <c r="I505" s="34"/>
      <c r="J505" s="37"/>
    </row>
    <row r="506" spans="1:10" ht="23.1" customHeight="1">
      <c r="A506" s="26"/>
      <c r="B506" s="26"/>
      <c r="C506" s="26"/>
      <c r="D506" s="27" t="s">
        <v>2248</v>
      </c>
      <c r="E506" s="142" t="s">
        <v>2247</v>
      </c>
      <c r="F506" s="142"/>
      <c r="G506" s="27" t="s">
        <v>2184</v>
      </c>
      <c r="H506" s="34"/>
      <c r="I506" s="34"/>
      <c r="J506" s="37"/>
    </row>
    <row r="507" spans="1:10" ht="23.1" customHeight="1">
      <c r="A507" s="26"/>
      <c r="B507" s="26"/>
      <c r="C507" s="26"/>
      <c r="D507" s="27" t="s">
        <v>2246</v>
      </c>
      <c r="E507" s="142" t="s">
        <v>2245</v>
      </c>
      <c r="F507" s="142"/>
      <c r="G507" s="27" t="s">
        <v>2184</v>
      </c>
      <c r="H507" s="34"/>
      <c r="I507" s="34"/>
      <c r="J507" s="37"/>
    </row>
    <row r="508" spans="1:10" ht="14.1" customHeight="1">
      <c r="A508" s="26"/>
      <c r="B508" s="26"/>
      <c r="C508" s="26"/>
      <c r="D508" s="27" t="s">
        <v>2244</v>
      </c>
      <c r="E508" s="142" t="s">
        <v>2243</v>
      </c>
      <c r="F508" s="142"/>
      <c r="G508" s="27" t="s">
        <v>2184</v>
      </c>
      <c r="H508" s="34"/>
      <c r="I508" s="34"/>
      <c r="J508" s="37"/>
    </row>
    <row r="509" spans="1:10" ht="14.1" customHeight="1">
      <c r="A509" s="26"/>
      <c r="B509" s="26"/>
      <c r="C509" s="26"/>
      <c r="D509" s="27" t="s">
        <v>2242</v>
      </c>
      <c r="E509" s="142" t="s">
        <v>2241</v>
      </c>
      <c r="F509" s="142"/>
      <c r="G509" s="27" t="s">
        <v>2184</v>
      </c>
      <c r="H509" s="34"/>
      <c r="I509" s="34"/>
      <c r="J509" s="37"/>
    </row>
    <row r="510" spans="1:10" ht="14.1" customHeight="1">
      <c r="A510" s="26"/>
      <c r="B510" s="26"/>
      <c r="C510" s="26"/>
      <c r="D510" s="27" t="s">
        <v>2240</v>
      </c>
      <c r="E510" s="142" t="s">
        <v>2239</v>
      </c>
      <c r="F510" s="142"/>
      <c r="G510" s="27" t="s">
        <v>2184</v>
      </c>
      <c r="H510" s="34"/>
      <c r="I510" s="34"/>
      <c r="J510" s="37"/>
    </row>
    <row r="511" spans="1:10" ht="14.1" customHeight="1">
      <c r="A511" s="26"/>
      <c r="B511" s="26"/>
      <c r="C511" s="26"/>
      <c r="D511" s="27" t="s">
        <v>2238</v>
      </c>
      <c r="E511" s="142" t="s">
        <v>2237</v>
      </c>
      <c r="F511" s="142"/>
      <c r="G511" s="27" t="s">
        <v>2184</v>
      </c>
      <c r="H511" s="34"/>
      <c r="I511" s="34"/>
      <c r="J511" s="37"/>
    </row>
    <row r="512" spans="1:10" ht="14.1" customHeight="1">
      <c r="A512" s="26"/>
      <c r="B512" s="26"/>
      <c r="C512" s="26"/>
      <c r="D512" s="27" t="s">
        <v>2236</v>
      </c>
      <c r="E512" s="142" t="s">
        <v>2235</v>
      </c>
      <c r="F512" s="142"/>
      <c r="G512" s="27" t="s">
        <v>2184</v>
      </c>
      <c r="H512" s="34"/>
      <c r="I512" s="34"/>
      <c r="J512" s="37"/>
    </row>
    <row r="513" spans="1:10" ht="18" customHeight="1">
      <c r="A513" s="26"/>
      <c r="B513" s="26"/>
      <c r="C513" s="26"/>
      <c r="D513" s="27" t="s">
        <v>2234</v>
      </c>
      <c r="E513" s="142" t="s">
        <v>2233</v>
      </c>
      <c r="F513" s="142"/>
      <c r="G513" s="27" t="s">
        <v>2184</v>
      </c>
      <c r="H513" s="34"/>
      <c r="I513" s="34"/>
      <c r="J513" s="37"/>
    </row>
    <row r="514" spans="1:10" ht="23.1" customHeight="1">
      <c r="A514" s="26"/>
      <c r="B514" s="26"/>
      <c r="C514" s="26"/>
      <c r="D514" s="27" t="s">
        <v>2232</v>
      </c>
      <c r="E514" s="142" t="s">
        <v>2231</v>
      </c>
      <c r="F514" s="142"/>
      <c r="G514" s="27" t="s">
        <v>2184</v>
      </c>
      <c r="H514" s="34"/>
      <c r="I514" s="34"/>
      <c r="J514" s="37"/>
    </row>
    <row r="515" spans="1:10" ht="23.1" customHeight="1">
      <c r="A515" s="26"/>
      <c r="B515" s="26"/>
      <c r="C515" s="26"/>
      <c r="D515" s="27" t="s">
        <v>2230</v>
      </c>
      <c r="E515" s="142" t="s">
        <v>2229</v>
      </c>
      <c r="F515" s="142"/>
      <c r="G515" s="27" t="s">
        <v>2184</v>
      </c>
      <c r="H515" s="34"/>
      <c r="I515" s="34"/>
      <c r="J515" s="37"/>
    </row>
    <row r="516" spans="1:10" ht="14.1" customHeight="1">
      <c r="A516" s="26"/>
      <c r="B516" s="26"/>
      <c r="C516" s="26"/>
      <c r="D516" s="27" t="s">
        <v>2228</v>
      </c>
      <c r="E516" s="142" t="s">
        <v>2227</v>
      </c>
      <c r="F516" s="142"/>
      <c r="G516" s="27" t="s">
        <v>2184</v>
      </c>
      <c r="H516" s="34"/>
      <c r="I516" s="34"/>
      <c r="J516" s="37"/>
    </row>
    <row r="517" spans="1:10" ht="23.1" customHeight="1">
      <c r="A517" s="26"/>
      <c r="B517" s="26"/>
      <c r="C517" s="26"/>
      <c r="D517" s="27" t="s">
        <v>2226</v>
      </c>
      <c r="E517" s="142" t="s">
        <v>2225</v>
      </c>
      <c r="F517" s="142"/>
      <c r="G517" s="27" t="s">
        <v>2184</v>
      </c>
      <c r="H517" s="34"/>
      <c r="I517" s="34"/>
      <c r="J517" s="37"/>
    </row>
    <row r="518" spans="1:10" ht="23.1" customHeight="1">
      <c r="A518" s="26"/>
      <c r="B518" s="26"/>
      <c r="C518" s="26"/>
      <c r="D518" s="27" t="s">
        <v>2224</v>
      </c>
      <c r="E518" s="142" t="s">
        <v>2223</v>
      </c>
      <c r="F518" s="142"/>
      <c r="G518" s="27" t="s">
        <v>2184</v>
      </c>
      <c r="H518" s="34"/>
      <c r="I518" s="34"/>
      <c r="J518" s="37"/>
    </row>
    <row r="519" spans="1:10" ht="23.1" customHeight="1">
      <c r="A519" s="26"/>
      <c r="B519" s="26"/>
      <c r="C519" s="26"/>
      <c r="D519" s="27" t="s">
        <v>2222</v>
      </c>
      <c r="E519" s="142" t="s">
        <v>2221</v>
      </c>
      <c r="F519" s="142"/>
      <c r="G519" s="27" t="s">
        <v>2184</v>
      </c>
      <c r="H519" s="34"/>
      <c r="I519" s="34"/>
      <c r="J519" s="37"/>
    </row>
    <row r="520" spans="1:10" ht="14.1" customHeight="1">
      <c r="A520" s="26"/>
      <c r="B520" s="26"/>
      <c r="C520" s="26"/>
      <c r="D520" s="27" t="s">
        <v>2220</v>
      </c>
      <c r="E520" s="142" t="s">
        <v>2219</v>
      </c>
      <c r="F520" s="142"/>
      <c r="G520" s="27" t="s">
        <v>2184</v>
      </c>
      <c r="H520" s="34"/>
      <c r="I520" s="34"/>
      <c r="J520" s="37"/>
    </row>
    <row r="521" spans="1:10" ht="14.1" customHeight="1">
      <c r="A521" s="26"/>
      <c r="B521" s="26"/>
      <c r="C521" s="26"/>
      <c r="D521" s="27" t="s">
        <v>2218</v>
      </c>
      <c r="E521" s="142" t="s">
        <v>2217</v>
      </c>
      <c r="F521" s="142"/>
      <c r="G521" s="27" t="s">
        <v>2184</v>
      </c>
      <c r="H521" s="34"/>
      <c r="I521" s="34"/>
      <c r="J521" s="37"/>
    </row>
    <row r="522" spans="1:10" ht="23.1" customHeight="1">
      <c r="A522" s="26"/>
      <c r="B522" s="26"/>
      <c r="C522" s="26"/>
      <c r="D522" s="27" t="s">
        <v>2216</v>
      </c>
      <c r="E522" s="142" t="s">
        <v>2215</v>
      </c>
      <c r="F522" s="142"/>
      <c r="G522" s="27" t="s">
        <v>2184</v>
      </c>
      <c r="H522" s="34"/>
      <c r="I522" s="34"/>
      <c r="J522" s="37"/>
    </row>
    <row r="523" spans="1:10" ht="23.1" customHeight="1">
      <c r="A523" s="26"/>
      <c r="B523" s="26"/>
      <c r="C523" s="26"/>
      <c r="D523" s="27" t="s">
        <v>2214</v>
      </c>
      <c r="E523" s="142" t="s">
        <v>2213</v>
      </c>
      <c r="F523" s="142"/>
      <c r="G523" s="27" t="s">
        <v>2184</v>
      </c>
      <c r="H523" s="34"/>
      <c r="I523" s="34"/>
      <c r="J523" s="37"/>
    </row>
    <row r="524" spans="1:10" ht="23.1" customHeight="1">
      <c r="A524" s="26"/>
      <c r="B524" s="26"/>
      <c r="C524" s="26"/>
      <c r="D524" s="27" t="s">
        <v>2212</v>
      </c>
      <c r="E524" s="142" t="s">
        <v>2211</v>
      </c>
      <c r="F524" s="142"/>
      <c r="G524" s="27" t="s">
        <v>2184</v>
      </c>
      <c r="H524" s="34"/>
      <c r="I524" s="34"/>
      <c r="J524" s="37"/>
    </row>
    <row r="525" spans="1:10" ht="23.1" customHeight="1">
      <c r="A525" s="26"/>
      <c r="B525" s="26"/>
      <c r="C525" s="26"/>
      <c r="D525" s="27" t="s">
        <v>2210</v>
      </c>
      <c r="E525" s="142" t="s">
        <v>2209</v>
      </c>
      <c r="F525" s="142"/>
      <c r="G525" s="27" t="s">
        <v>2184</v>
      </c>
      <c r="H525" s="34"/>
      <c r="I525" s="34"/>
      <c r="J525" s="37"/>
    </row>
    <row r="526" spans="1:10" ht="23.1" customHeight="1">
      <c r="A526" s="26"/>
      <c r="B526" s="26"/>
      <c r="C526" s="26"/>
      <c r="D526" s="27" t="s">
        <v>2208</v>
      </c>
      <c r="E526" s="142" t="s">
        <v>2207</v>
      </c>
      <c r="F526" s="142"/>
      <c r="G526" s="27" t="s">
        <v>2184</v>
      </c>
      <c r="H526" s="34"/>
      <c r="I526" s="34"/>
      <c r="J526" s="37"/>
    </row>
    <row r="527" spans="1:10" ht="23.1" customHeight="1">
      <c r="A527" s="26"/>
      <c r="B527" s="26"/>
      <c r="C527" s="26"/>
      <c r="D527" s="27" t="s">
        <v>2206</v>
      </c>
      <c r="E527" s="142" t="s">
        <v>2205</v>
      </c>
      <c r="F527" s="142"/>
      <c r="G527" s="27" t="s">
        <v>2184</v>
      </c>
      <c r="H527" s="34"/>
      <c r="I527" s="34"/>
      <c r="J527" s="37"/>
    </row>
    <row r="528" spans="1:10" ht="14.1" customHeight="1">
      <c r="A528" s="26"/>
      <c r="B528" s="26"/>
      <c r="C528" s="26"/>
      <c r="D528" s="27" t="s">
        <v>2204</v>
      </c>
      <c r="E528" s="142" t="s">
        <v>2203</v>
      </c>
      <c r="F528" s="142"/>
      <c r="G528" s="27" t="s">
        <v>2184</v>
      </c>
      <c r="H528" s="34"/>
      <c r="I528" s="34"/>
      <c r="J528" s="37"/>
    </row>
    <row r="529" spans="1:10" ht="14.1" customHeight="1">
      <c r="A529" s="26"/>
      <c r="B529" s="26"/>
      <c r="C529" s="26"/>
      <c r="D529" s="27" t="s">
        <v>2202</v>
      </c>
      <c r="E529" s="142" t="s">
        <v>2201</v>
      </c>
      <c r="F529" s="142"/>
      <c r="G529" s="27" t="s">
        <v>2184</v>
      </c>
      <c r="H529" s="34"/>
      <c r="I529" s="34"/>
      <c r="J529" s="37"/>
    </row>
    <row r="530" spans="1:10" ht="14.1" customHeight="1">
      <c r="A530" s="26"/>
      <c r="B530" s="26"/>
      <c r="C530" s="26"/>
      <c r="D530" s="27" t="s">
        <v>2122</v>
      </c>
      <c r="E530" s="142" t="s">
        <v>2200</v>
      </c>
      <c r="F530" s="142"/>
      <c r="G530" s="27" t="s">
        <v>2184</v>
      </c>
      <c r="H530" s="34">
        <f>Kran!F90</f>
        <v>2200000</v>
      </c>
      <c r="I530" s="34">
        <f>Kran!G90</f>
        <v>2200000</v>
      </c>
      <c r="J530" s="37"/>
    </row>
    <row r="531" spans="1:10" ht="14.1" customHeight="1">
      <c r="A531" s="26"/>
      <c r="B531" s="26"/>
      <c r="C531" s="26"/>
      <c r="D531" s="27" t="s">
        <v>2199</v>
      </c>
      <c r="E531" s="142" t="s">
        <v>2198</v>
      </c>
      <c r="F531" s="142"/>
      <c r="G531" s="27" t="s">
        <v>2184</v>
      </c>
      <c r="H531" s="34"/>
      <c r="I531" s="34"/>
      <c r="J531" s="37"/>
    </row>
    <row r="532" spans="1:10" ht="14.1" customHeight="1">
      <c r="A532" s="26"/>
      <c r="B532" s="26"/>
      <c r="C532" s="26"/>
      <c r="D532" s="27" t="s">
        <v>2197</v>
      </c>
      <c r="E532" s="142" t="s">
        <v>2196</v>
      </c>
      <c r="F532" s="142"/>
      <c r="G532" s="27" t="s">
        <v>2195</v>
      </c>
      <c r="H532" s="34"/>
      <c r="I532" s="34"/>
      <c r="J532" s="37"/>
    </row>
    <row r="533" spans="1:10" ht="23.1" customHeight="1">
      <c r="A533" s="26"/>
      <c r="B533" s="26"/>
      <c r="C533" s="26"/>
      <c r="D533" s="27" t="s">
        <v>2194</v>
      </c>
      <c r="E533" s="142" t="s">
        <v>2193</v>
      </c>
      <c r="F533" s="142"/>
      <c r="G533" s="27" t="s">
        <v>2184</v>
      </c>
      <c r="H533" s="34"/>
      <c r="I533" s="34"/>
      <c r="J533" s="37"/>
    </row>
    <row r="534" spans="1:10" ht="14.1" customHeight="1">
      <c r="A534" s="26"/>
      <c r="B534" s="26"/>
      <c r="C534" s="26"/>
      <c r="D534" s="27" t="s">
        <v>2192</v>
      </c>
      <c r="E534" s="142" t="s">
        <v>2191</v>
      </c>
      <c r="F534" s="142"/>
      <c r="G534" s="27" t="s">
        <v>2184</v>
      </c>
      <c r="H534" s="34"/>
      <c r="I534" s="34"/>
      <c r="J534" s="37"/>
    </row>
    <row r="535" spans="1:10" ht="14.1" customHeight="1">
      <c r="A535" s="26"/>
      <c r="B535" s="26"/>
      <c r="C535" s="26"/>
      <c r="D535" s="27" t="s">
        <v>2190</v>
      </c>
      <c r="E535" s="142" t="s">
        <v>2189</v>
      </c>
      <c r="F535" s="142"/>
      <c r="G535" s="27" t="s">
        <v>2184</v>
      </c>
      <c r="H535" s="34"/>
      <c r="I535" s="34"/>
      <c r="J535" s="37"/>
    </row>
    <row r="536" spans="1:10" ht="14.1" customHeight="1">
      <c r="A536" s="26"/>
      <c r="B536" s="26"/>
      <c r="C536" s="26"/>
      <c r="D536" s="27" t="s">
        <v>2188</v>
      </c>
      <c r="E536" s="142" t="s">
        <v>2187</v>
      </c>
      <c r="F536" s="142"/>
      <c r="G536" s="27" t="s">
        <v>2184</v>
      </c>
      <c r="H536" s="34"/>
      <c r="I536" s="34"/>
      <c r="J536" s="37"/>
    </row>
    <row r="537" spans="1:10" ht="23.1" customHeight="1">
      <c r="A537" s="26"/>
      <c r="B537" s="26"/>
      <c r="C537" s="26"/>
      <c r="D537" s="27" t="s">
        <v>2186</v>
      </c>
      <c r="E537" s="142" t="s">
        <v>2185</v>
      </c>
      <c r="F537" s="142"/>
      <c r="G537" s="27" t="s">
        <v>2184</v>
      </c>
      <c r="H537" s="34"/>
      <c r="I537" s="34"/>
      <c r="J537" s="37"/>
    </row>
    <row r="538" spans="1:10" ht="23.1" customHeight="1">
      <c r="A538" s="26"/>
      <c r="B538" s="26"/>
      <c r="C538" s="26"/>
      <c r="D538" s="27" t="s">
        <v>529</v>
      </c>
      <c r="E538" s="142" t="s">
        <v>238</v>
      </c>
      <c r="F538" s="142"/>
      <c r="G538" s="27" t="s">
        <v>2151</v>
      </c>
      <c r="H538" s="34">
        <f>Liquid!F8</f>
        <v>20000</v>
      </c>
      <c r="I538" s="34">
        <f>Liquid!G8</f>
        <v>20000</v>
      </c>
      <c r="J538" s="37"/>
    </row>
    <row r="539" spans="1:10" ht="23.1" customHeight="1">
      <c r="A539" s="26"/>
      <c r="B539" s="26"/>
      <c r="C539" s="26"/>
      <c r="D539" s="27" t="s">
        <v>524</v>
      </c>
      <c r="E539" s="142" t="s">
        <v>523</v>
      </c>
      <c r="F539" s="142"/>
      <c r="G539" s="27" t="s">
        <v>2151</v>
      </c>
      <c r="H539" s="34">
        <f>Liquid!F19</f>
        <v>735000</v>
      </c>
      <c r="I539" s="34">
        <f>Liquid!G19</f>
        <v>735000</v>
      </c>
      <c r="J539" s="37"/>
    </row>
    <row r="540" spans="1:10" ht="23.1" customHeight="1">
      <c r="A540" s="26"/>
      <c r="B540" s="26"/>
      <c r="C540" s="26"/>
      <c r="D540" s="27" t="s">
        <v>526</v>
      </c>
      <c r="E540" s="142" t="s">
        <v>525</v>
      </c>
      <c r="F540" s="142"/>
      <c r="G540" s="27" t="s">
        <v>2151</v>
      </c>
      <c r="H540" s="34">
        <f>Liquid!F20</f>
        <v>880000</v>
      </c>
      <c r="I540" s="34">
        <f>Liquid!G20</f>
        <v>880000</v>
      </c>
      <c r="J540" s="37"/>
    </row>
    <row r="541" spans="1:10" ht="23.1" customHeight="1">
      <c r="A541" s="26"/>
      <c r="B541" s="26"/>
      <c r="C541" s="26"/>
      <c r="D541" s="27" t="s">
        <v>528</v>
      </c>
      <c r="E541" s="142" t="s">
        <v>527</v>
      </c>
      <c r="F541" s="142"/>
      <c r="G541" s="27" t="s">
        <v>2151</v>
      </c>
      <c r="H541" s="34">
        <f>Liquid!F21</f>
        <v>1500000</v>
      </c>
      <c r="I541" s="34">
        <f>Liquid!G21</f>
        <v>1500000</v>
      </c>
      <c r="J541" s="37"/>
    </row>
    <row r="542" spans="1:10" ht="23.1" customHeight="1">
      <c r="A542" s="26"/>
      <c r="B542" s="26"/>
      <c r="C542" s="26"/>
      <c r="D542" s="27" t="s">
        <v>530</v>
      </c>
      <c r="E542" s="142" t="s">
        <v>82</v>
      </c>
      <c r="F542" s="142"/>
      <c r="G542" s="27" t="s">
        <v>2151</v>
      </c>
      <c r="H542" s="34">
        <f>Liquid!F16</f>
        <v>660000</v>
      </c>
      <c r="I542" s="34">
        <f>Liquid!G16</f>
        <v>660000</v>
      </c>
      <c r="J542" s="37"/>
    </row>
    <row r="543" spans="1:10" ht="23.25" customHeight="1">
      <c r="A543" s="26"/>
      <c r="B543" s="26"/>
      <c r="C543" s="26"/>
      <c r="D543" s="27" t="s">
        <v>531</v>
      </c>
      <c r="E543" s="142" t="s">
        <v>121</v>
      </c>
      <c r="F543" s="142"/>
      <c r="G543" s="27" t="s">
        <v>2151</v>
      </c>
      <c r="H543" s="34">
        <f>Liquid!F17</f>
        <v>792000</v>
      </c>
      <c r="I543" s="34">
        <f>Liquid!G17</f>
        <v>792000</v>
      </c>
      <c r="J543" s="37"/>
    </row>
    <row r="544" spans="1:10" ht="23.1" customHeight="1">
      <c r="A544" s="26"/>
      <c r="B544" s="26"/>
      <c r="C544" s="26"/>
      <c r="D544" s="27" t="s">
        <v>532</v>
      </c>
      <c r="E544" s="142" t="s">
        <v>33</v>
      </c>
      <c r="F544" s="142"/>
      <c r="G544" s="27" t="s">
        <v>2151</v>
      </c>
      <c r="H544" s="34">
        <f>Liquid!F18</f>
        <v>1320000</v>
      </c>
      <c r="I544" s="34">
        <f>Liquid!G18</f>
        <v>1320000</v>
      </c>
      <c r="J544" s="37"/>
    </row>
    <row r="545" spans="1:10" ht="23.1" customHeight="1">
      <c r="A545" s="26"/>
      <c r="B545" s="26"/>
      <c r="C545" s="26"/>
      <c r="D545" s="27" t="s">
        <v>533</v>
      </c>
      <c r="E545" s="142" t="s">
        <v>122</v>
      </c>
      <c r="F545" s="142"/>
      <c r="G545" s="27" t="s">
        <v>2151</v>
      </c>
      <c r="H545" s="34">
        <f>Liquid!F9</f>
        <v>125000</v>
      </c>
      <c r="I545" s="34">
        <f>Liquid!G9</f>
        <v>125000</v>
      </c>
      <c r="J545" s="37"/>
    </row>
    <row r="546" spans="1:10" ht="23.1" customHeight="1">
      <c r="A546" s="26"/>
      <c r="B546" s="26"/>
      <c r="C546" s="26"/>
      <c r="D546" s="27" t="s">
        <v>534</v>
      </c>
      <c r="E546" s="142" t="s">
        <v>123</v>
      </c>
      <c r="F546" s="142"/>
      <c r="G546" s="27" t="s">
        <v>2151</v>
      </c>
      <c r="H546" s="34">
        <f>Liquid!F10</f>
        <v>150000</v>
      </c>
      <c r="I546" s="34">
        <f>Liquid!G10</f>
        <v>150000</v>
      </c>
      <c r="J546" s="37"/>
    </row>
    <row r="547" spans="1:10" ht="23.1" customHeight="1">
      <c r="A547" s="26"/>
      <c r="B547" s="26"/>
      <c r="C547" s="26"/>
      <c r="D547" s="27" t="s">
        <v>2687</v>
      </c>
      <c r="E547" s="142" t="s">
        <v>124</v>
      </c>
      <c r="F547" s="142"/>
      <c r="G547" s="27" t="s">
        <v>2151</v>
      </c>
      <c r="H547" s="34">
        <f>Liquid!F11</f>
        <v>240000</v>
      </c>
      <c r="I547" s="34">
        <f>Liquid!G11</f>
        <v>240000</v>
      </c>
      <c r="J547" s="37"/>
    </row>
    <row r="548" spans="1:10" ht="23.1" customHeight="1">
      <c r="A548" s="26"/>
      <c r="B548" s="26"/>
      <c r="C548" s="26"/>
      <c r="D548" s="27" t="s">
        <v>536</v>
      </c>
      <c r="E548" s="142" t="s">
        <v>125</v>
      </c>
      <c r="F548" s="142"/>
      <c r="G548" s="27" t="s">
        <v>2151</v>
      </c>
      <c r="H548" s="34">
        <f>Liquid!F12</f>
        <v>325000</v>
      </c>
      <c r="I548" s="34">
        <f>Liquid!G12</f>
        <v>325000</v>
      </c>
      <c r="J548" s="37"/>
    </row>
    <row r="549" spans="1:10" ht="23.1" customHeight="1">
      <c r="A549" s="26"/>
      <c r="B549" s="26"/>
      <c r="C549" s="26"/>
      <c r="D549" s="27" t="s">
        <v>537</v>
      </c>
      <c r="E549" s="142" t="s">
        <v>126</v>
      </c>
      <c r="F549" s="142"/>
      <c r="G549" s="27" t="s">
        <v>2151</v>
      </c>
      <c r="H549" s="34">
        <f>Liquid!F13</f>
        <v>415000</v>
      </c>
      <c r="I549" s="34">
        <f>Liquid!G13</f>
        <v>415000</v>
      </c>
      <c r="J549" s="37"/>
    </row>
    <row r="550" spans="1:10" ht="23.1" customHeight="1">
      <c r="A550" s="26"/>
      <c r="B550" s="26"/>
      <c r="C550" s="26"/>
      <c r="D550" s="27" t="s">
        <v>538</v>
      </c>
      <c r="E550" s="142" t="s">
        <v>83</v>
      </c>
      <c r="F550" s="142"/>
      <c r="G550" s="27" t="s">
        <v>2151</v>
      </c>
      <c r="H550" s="34">
        <f>Liquid!F15</f>
        <v>590000</v>
      </c>
      <c r="I550" s="34">
        <f>Liquid!G15</f>
        <v>590000</v>
      </c>
      <c r="J550" s="37"/>
    </row>
    <row r="551" spans="1:10" ht="23.1" customHeight="1">
      <c r="A551" s="26"/>
      <c r="B551" s="26"/>
      <c r="C551" s="26"/>
      <c r="D551" s="27" t="s">
        <v>539</v>
      </c>
      <c r="E551" s="142" t="s">
        <v>260</v>
      </c>
      <c r="F551" s="142"/>
      <c r="G551" s="27" t="s">
        <v>2151</v>
      </c>
      <c r="H551" s="34">
        <f>Liquid!F6</f>
        <v>0</v>
      </c>
      <c r="I551" s="34">
        <f>Liquid!G6</f>
        <v>1200000</v>
      </c>
      <c r="J551" s="37"/>
    </row>
    <row r="552" spans="1:10" ht="23.1" customHeight="1">
      <c r="A552" s="26"/>
      <c r="B552" s="26"/>
      <c r="C552" s="26"/>
      <c r="D552" s="27" t="s">
        <v>540</v>
      </c>
      <c r="E552" s="142" t="s">
        <v>259</v>
      </c>
      <c r="F552" s="142"/>
      <c r="G552" s="27" t="s">
        <v>2151</v>
      </c>
      <c r="H552" s="34">
        <f>Liquid!F7</f>
        <v>1750000</v>
      </c>
      <c r="I552" s="34">
        <f>Liquid!G7</f>
        <v>1750000</v>
      </c>
      <c r="J552" s="37"/>
    </row>
    <row r="553" spans="1:10" ht="23.1" customHeight="1">
      <c r="A553" s="26"/>
      <c r="B553" s="26"/>
      <c r="C553" s="26"/>
      <c r="D553" s="27" t="s">
        <v>541</v>
      </c>
      <c r="E553" s="142" t="s">
        <v>54</v>
      </c>
      <c r="F553" s="142"/>
      <c r="G553" s="27" t="s">
        <v>2151</v>
      </c>
      <c r="H553" s="34">
        <f>Liquid!F5</f>
        <v>3850000</v>
      </c>
      <c r="I553" s="34">
        <f>Liquid!G5</f>
        <v>3850000</v>
      </c>
      <c r="J553" s="37"/>
    </row>
    <row r="554" spans="1:10" ht="14.1" hidden="1" customHeight="1">
      <c r="A554" s="26"/>
      <c r="B554" s="26"/>
      <c r="C554" s="38" t="s">
        <v>2183</v>
      </c>
      <c r="D554" s="38"/>
      <c r="E554" s="38"/>
      <c r="F554" s="26"/>
      <c r="G554" s="26"/>
      <c r="H554" s="34"/>
      <c r="I554" s="34"/>
      <c r="J554" s="37"/>
    </row>
    <row r="555" spans="1:10" ht="23.1" customHeight="1">
      <c r="A555" s="26"/>
      <c r="B555" s="26"/>
      <c r="C555" s="26"/>
      <c r="D555" s="27" t="s">
        <v>435</v>
      </c>
      <c r="E555" s="142" t="s">
        <v>91</v>
      </c>
      <c r="F555" s="142"/>
      <c r="G555" s="27" t="s">
        <v>2151</v>
      </c>
      <c r="H555" s="34">
        <f>Kran!F39</f>
        <v>92500</v>
      </c>
      <c r="I555" s="34">
        <f>Kran!G39</f>
        <v>92500</v>
      </c>
      <c r="J555" s="37"/>
    </row>
    <row r="556" spans="1:10" ht="23.1" customHeight="1">
      <c r="A556" s="26"/>
      <c r="B556" s="26"/>
      <c r="C556" s="26"/>
      <c r="D556" s="27" t="s">
        <v>437</v>
      </c>
      <c r="E556" s="142" t="s">
        <v>2182</v>
      </c>
      <c r="F556" s="142"/>
      <c r="G556" s="27" t="s">
        <v>2151</v>
      </c>
      <c r="H556" s="34"/>
      <c r="I556" s="34"/>
      <c r="J556" s="37"/>
    </row>
    <row r="557" spans="1:10" ht="23.1" customHeight="1">
      <c r="A557" s="26"/>
      <c r="B557" s="26"/>
      <c r="C557" s="26"/>
      <c r="D557" s="27" t="s">
        <v>439</v>
      </c>
      <c r="E557" s="142" t="s">
        <v>438</v>
      </c>
      <c r="F557" s="142"/>
      <c r="G557" s="27" t="s">
        <v>2151</v>
      </c>
      <c r="H557" s="34">
        <f>Kran!F41</f>
        <v>87500</v>
      </c>
      <c r="I557" s="34">
        <f>Kran!G41</f>
        <v>87500</v>
      </c>
      <c r="J557" s="37"/>
    </row>
    <row r="558" spans="1:10" ht="23.1" customHeight="1">
      <c r="A558" s="26"/>
      <c r="B558" s="26"/>
      <c r="C558" s="26"/>
      <c r="D558" s="27" t="s">
        <v>441</v>
      </c>
      <c r="E558" s="142" t="s">
        <v>440</v>
      </c>
      <c r="F558" s="142"/>
      <c r="G558" s="27" t="s">
        <v>2151</v>
      </c>
      <c r="H558" s="34">
        <f>Kran!F43</f>
        <v>87500</v>
      </c>
      <c r="I558" s="34">
        <f>Kran!G43</f>
        <v>87500</v>
      </c>
      <c r="J558" s="37"/>
    </row>
    <row r="559" spans="1:10" ht="23.1" customHeight="1">
      <c r="A559" s="26"/>
      <c r="B559" s="26"/>
      <c r="C559" s="26"/>
      <c r="D559" s="27" t="s">
        <v>448</v>
      </c>
      <c r="E559" s="142" t="s">
        <v>447</v>
      </c>
      <c r="F559" s="142"/>
      <c r="G559" s="27" t="s">
        <v>2151</v>
      </c>
      <c r="H559" s="34">
        <f>Kran!F45</f>
        <v>975000</v>
      </c>
      <c r="I559" s="34">
        <f>Kran!G45</f>
        <v>105000</v>
      </c>
      <c r="J559" s="37"/>
    </row>
    <row r="560" spans="1:10" ht="23.1" customHeight="1">
      <c r="A560" s="26"/>
      <c r="B560" s="26"/>
      <c r="C560" s="26"/>
      <c r="D560" s="27" t="s">
        <v>454</v>
      </c>
      <c r="E560" s="142" t="s">
        <v>2181</v>
      </c>
      <c r="F560" s="142"/>
      <c r="G560" s="27" t="s">
        <v>2151</v>
      </c>
      <c r="H560" s="34">
        <f>Kran!F29</f>
        <v>220000</v>
      </c>
      <c r="I560" s="34">
        <f>Kran!G29</f>
        <v>220000</v>
      </c>
      <c r="J560" s="37"/>
    </row>
    <row r="561" spans="1:10" ht="23.1" customHeight="1">
      <c r="A561" s="26"/>
      <c r="B561" s="26"/>
      <c r="C561" s="26"/>
      <c r="D561" s="27" t="s">
        <v>456</v>
      </c>
      <c r="E561" s="142" t="s">
        <v>455</v>
      </c>
      <c r="F561" s="142"/>
      <c r="G561" s="27" t="s">
        <v>2151</v>
      </c>
      <c r="H561" s="34">
        <f>Kran!F37</f>
        <v>220000</v>
      </c>
      <c r="I561" s="34">
        <f>Kran!G37</f>
        <v>220000</v>
      </c>
      <c r="J561" s="37"/>
    </row>
    <row r="562" spans="1:10" ht="23.1" customHeight="1">
      <c r="A562" s="26"/>
      <c r="B562" s="26"/>
      <c r="C562" s="26"/>
      <c r="D562" s="27" t="s">
        <v>460</v>
      </c>
      <c r="E562" s="142" t="s">
        <v>459</v>
      </c>
      <c r="F562" s="142"/>
      <c r="G562" s="27" t="s">
        <v>2151</v>
      </c>
      <c r="H562" s="34">
        <f>Kran!F35</f>
        <v>300000</v>
      </c>
      <c r="I562" s="34">
        <f>Kran!G35</f>
        <v>0</v>
      </c>
      <c r="J562" s="37"/>
    </row>
    <row r="563" spans="1:10" ht="23.1" customHeight="1">
      <c r="A563" s="26"/>
      <c r="B563" s="26"/>
      <c r="C563" s="26"/>
      <c r="D563" s="27" t="s">
        <v>461</v>
      </c>
      <c r="E563" s="142" t="s">
        <v>81</v>
      </c>
      <c r="F563" s="142"/>
      <c r="G563" s="27" t="s">
        <v>2151</v>
      </c>
      <c r="H563" s="34">
        <f>Kran!F38</f>
        <v>350000</v>
      </c>
      <c r="I563" s="34">
        <f>Kran!G38</f>
        <v>350000</v>
      </c>
      <c r="J563" s="37"/>
    </row>
    <row r="564" spans="1:10" ht="23.1" customHeight="1">
      <c r="A564" s="26"/>
      <c r="B564" s="26"/>
      <c r="C564" s="26"/>
      <c r="D564" s="27" t="s">
        <v>462</v>
      </c>
      <c r="E564" s="142" t="s">
        <v>100</v>
      </c>
      <c r="F564" s="142"/>
      <c r="G564" s="27" t="s">
        <v>2151</v>
      </c>
      <c r="H564" s="34">
        <f>Kran!F34</f>
        <v>145000</v>
      </c>
      <c r="I564" s="34">
        <f>Kran!G34</f>
        <v>145000</v>
      </c>
      <c r="J564" s="37"/>
    </row>
    <row r="565" spans="1:10" ht="23.1" customHeight="1">
      <c r="A565" s="26"/>
      <c r="B565" s="26"/>
      <c r="C565" s="26"/>
      <c r="D565" s="27" t="s">
        <v>470</v>
      </c>
      <c r="E565" s="142" t="s">
        <v>469</v>
      </c>
      <c r="F565" s="142"/>
      <c r="G565" s="27" t="s">
        <v>2151</v>
      </c>
      <c r="H565" s="34">
        <f>Kran!F36</f>
        <v>95000</v>
      </c>
      <c r="I565" s="34">
        <f>Kran!G36</f>
        <v>0</v>
      </c>
      <c r="J565" s="37"/>
    </row>
    <row r="566" spans="1:10" ht="23.1" customHeight="1">
      <c r="A566" s="26"/>
      <c r="B566" s="26"/>
      <c r="C566" s="26"/>
      <c r="D566" s="27" t="s">
        <v>472</v>
      </c>
      <c r="E566" s="142" t="s">
        <v>471</v>
      </c>
      <c r="F566" s="142"/>
      <c r="G566" s="27" t="s">
        <v>2151</v>
      </c>
      <c r="H566" s="34">
        <f>Kran!F28</f>
        <v>160000</v>
      </c>
      <c r="I566" s="34">
        <f>Kran!G28</f>
        <v>160000</v>
      </c>
      <c r="J566" s="37"/>
    </row>
    <row r="567" spans="1:10" ht="18" customHeight="1">
      <c r="A567" s="26"/>
      <c r="B567" s="26"/>
      <c r="C567" s="26"/>
      <c r="D567" s="27" t="s">
        <v>473</v>
      </c>
      <c r="E567" s="142" t="s">
        <v>1</v>
      </c>
      <c r="F567" s="142"/>
      <c r="G567" s="27" t="s">
        <v>2151</v>
      </c>
      <c r="H567" s="34">
        <f>Kran!F5</f>
        <v>20000</v>
      </c>
      <c r="I567" s="34">
        <f>Kran!G5</f>
        <v>20000</v>
      </c>
      <c r="J567" s="37"/>
    </row>
    <row r="568" spans="1:10" ht="23.1" customHeight="1">
      <c r="A568" s="26"/>
      <c r="B568" s="26"/>
      <c r="C568" s="26"/>
      <c r="D568" s="27" t="s">
        <v>475</v>
      </c>
      <c r="E568" s="142" t="s">
        <v>474</v>
      </c>
      <c r="F568" s="142"/>
      <c r="G568" s="27" t="s">
        <v>2151</v>
      </c>
      <c r="H568" s="34">
        <f>Kran!F6</f>
        <v>25000</v>
      </c>
      <c r="I568" s="34">
        <f>Kran!G6</f>
        <v>30000</v>
      </c>
      <c r="J568" s="37"/>
    </row>
    <row r="569" spans="1:10" ht="23.1" customHeight="1">
      <c r="A569" s="26"/>
      <c r="B569" s="26"/>
      <c r="C569" s="26"/>
      <c r="D569" s="27" t="s">
        <v>445</v>
      </c>
      <c r="E569" s="142" t="s">
        <v>2180</v>
      </c>
      <c r="F569" s="142"/>
      <c r="G569" s="27" t="s">
        <v>2151</v>
      </c>
      <c r="H569" s="34">
        <f>Kran!F44</f>
        <v>135000</v>
      </c>
      <c r="I569" s="34">
        <f>Kran!G44</f>
        <v>135000</v>
      </c>
      <c r="J569" s="37"/>
    </row>
    <row r="570" spans="1:10" ht="23.1" customHeight="1">
      <c r="A570" s="26"/>
      <c r="B570" s="26"/>
      <c r="C570" s="26"/>
      <c r="D570" s="27" t="s">
        <v>464</v>
      </c>
      <c r="E570" s="142" t="s">
        <v>463</v>
      </c>
      <c r="F570" s="142"/>
      <c r="G570" s="27" t="s">
        <v>2151</v>
      </c>
      <c r="H570" s="34">
        <f>Kran!F30</f>
        <v>92500</v>
      </c>
      <c r="I570" s="34">
        <f>Kran!G30</f>
        <v>92500</v>
      </c>
      <c r="J570" s="37"/>
    </row>
    <row r="571" spans="1:10" ht="23.1" customHeight="1">
      <c r="A571" s="26"/>
      <c r="B571" s="26"/>
      <c r="C571" s="26"/>
      <c r="D571" s="27" t="s">
        <v>476</v>
      </c>
      <c r="E571" s="142" t="s">
        <v>3</v>
      </c>
      <c r="F571" s="142"/>
      <c r="G571" s="27" t="s">
        <v>2151</v>
      </c>
      <c r="H571" s="34">
        <f>Kran!F17</f>
        <v>2500000</v>
      </c>
      <c r="I571" s="34">
        <f>Kran!G17</f>
        <v>2500000</v>
      </c>
      <c r="J571" s="37"/>
    </row>
    <row r="572" spans="1:10" ht="23.1" customHeight="1">
      <c r="A572" s="26"/>
      <c r="B572" s="26"/>
      <c r="C572" s="26"/>
      <c r="D572" s="27" t="s">
        <v>478</v>
      </c>
      <c r="E572" s="142" t="s">
        <v>9</v>
      </c>
      <c r="F572" s="142"/>
      <c r="G572" s="27" t="s">
        <v>2151</v>
      </c>
      <c r="H572" s="34">
        <f>Kran!F23</f>
        <v>220000</v>
      </c>
      <c r="I572" s="34">
        <f>Kran!G23</f>
        <v>220000</v>
      </c>
      <c r="J572" s="37"/>
    </row>
    <row r="573" spans="1:10" ht="23.1" customHeight="1">
      <c r="A573" s="26"/>
      <c r="B573" s="26"/>
      <c r="C573" s="26"/>
      <c r="D573" s="27" t="s">
        <v>479</v>
      </c>
      <c r="E573" s="142" t="s">
        <v>15</v>
      </c>
      <c r="F573" s="142"/>
      <c r="G573" s="27" t="s">
        <v>2151</v>
      </c>
      <c r="H573" s="34">
        <f>Kran!F24</f>
        <v>8000</v>
      </c>
      <c r="I573" s="34">
        <f>Kran!G24</f>
        <v>8000</v>
      </c>
      <c r="J573" s="37"/>
    </row>
    <row r="574" spans="1:10" ht="23.1" customHeight="1">
      <c r="A574" s="26"/>
      <c r="B574" s="26"/>
      <c r="C574" s="26"/>
      <c r="D574" s="27" t="s">
        <v>480</v>
      </c>
      <c r="E574" s="142" t="s">
        <v>16</v>
      </c>
      <c r="F574" s="142"/>
      <c r="G574" s="27" t="s">
        <v>2151</v>
      </c>
      <c r="H574" s="34">
        <f>Kran!F25</f>
        <v>13000</v>
      </c>
      <c r="I574" s="34">
        <f>Kran!G25</f>
        <v>13000</v>
      </c>
      <c r="J574" s="37"/>
    </row>
    <row r="575" spans="1:10" ht="23.1" customHeight="1">
      <c r="A575" s="26"/>
      <c r="B575" s="26"/>
      <c r="C575" s="26"/>
      <c r="D575" s="27" t="s">
        <v>482</v>
      </c>
      <c r="E575" s="142" t="s">
        <v>481</v>
      </c>
      <c r="F575" s="142"/>
      <c r="G575" s="27" t="s">
        <v>2151</v>
      </c>
      <c r="H575" s="34">
        <f>Kran!F50</f>
        <v>715000</v>
      </c>
      <c r="I575" s="34">
        <f>Kran!G50</f>
        <v>715000</v>
      </c>
      <c r="J575" s="37"/>
    </row>
    <row r="576" spans="1:10" ht="23.1" customHeight="1">
      <c r="A576" s="26"/>
      <c r="B576" s="26"/>
      <c r="C576" s="26"/>
      <c r="D576" s="27" t="s">
        <v>484</v>
      </c>
      <c r="E576" s="142" t="s">
        <v>483</v>
      </c>
      <c r="F576" s="142"/>
      <c r="G576" s="27" t="s">
        <v>2151</v>
      </c>
      <c r="H576" s="34">
        <f>Kran!F50</f>
        <v>715000</v>
      </c>
      <c r="I576" s="34">
        <f>Kran!G50</f>
        <v>715000</v>
      </c>
      <c r="J576" s="37"/>
    </row>
    <row r="577" spans="1:10" ht="23.1" customHeight="1">
      <c r="A577" s="26"/>
      <c r="B577" s="26"/>
      <c r="C577" s="26"/>
      <c r="D577" s="27" t="s">
        <v>486</v>
      </c>
      <c r="E577" s="142" t="s">
        <v>485</v>
      </c>
      <c r="F577" s="142"/>
      <c r="G577" s="27" t="s">
        <v>2151</v>
      </c>
      <c r="H577" s="34">
        <f>Kran!F50</f>
        <v>715000</v>
      </c>
      <c r="I577" s="34">
        <f>Kran!G50</f>
        <v>715000</v>
      </c>
      <c r="J577" s="37"/>
    </row>
    <row r="578" spans="1:10" ht="23.1" customHeight="1">
      <c r="A578" s="26"/>
      <c r="B578" s="26"/>
      <c r="C578" s="26"/>
      <c r="D578" s="27" t="s">
        <v>488</v>
      </c>
      <c r="E578" s="142" t="s">
        <v>487</v>
      </c>
      <c r="F578" s="142"/>
      <c r="G578" s="27" t="s">
        <v>2151</v>
      </c>
      <c r="H578" s="34">
        <f>Kran!F50</f>
        <v>715000</v>
      </c>
      <c r="I578" s="34">
        <f>Kran!G50</f>
        <v>715000</v>
      </c>
      <c r="J578" s="37"/>
    </row>
    <row r="579" spans="1:10" ht="23.1" customHeight="1">
      <c r="A579" s="26"/>
      <c r="B579" s="26"/>
      <c r="C579" s="26"/>
      <c r="D579" s="27" t="s">
        <v>490</v>
      </c>
      <c r="E579" s="142" t="s">
        <v>489</v>
      </c>
      <c r="F579" s="142"/>
      <c r="G579" s="27" t="s">
        <v>2151</v>
      </c>
      <c r="H579" s="34">
        <f>Kran!F50</f>
        <v>715000</v>
      </c>
      <c r="I579" s="34">
        <f>Kran!G50</f>
        <v>715000</v>
      </c>
      <c r="J579" s="37"/>
    </row>
    <row r="580" spans="1:10" ht="23.1" customHeight="1">
      <c r="A580" s="26"/>
      <c r="B580" s="26"/>
      <c r="C580" s="26"/>
      <c r="D580" s="27" t="s">
        <v>492</v>
      </c>
      <c r="E580" s="142" t="s">
        <v>491</v>
      </c>
      <c r="F580" s="142"/>
      <c r="G580" s="27" t="s">
        <v>2151</v>
      </c>
      <c r="H580" s="34">
        <f>Kran!F50</f>
        <v>715000</v>
      </c>
      <c r="I580" s="34">
        <f>Kran!G50</f>
        <v>715000</v>
      </c>
      <c r="J580" s="37"/>
    </row>
    <row r="581" spans="1:10" ht="23.1" customHeight="1">
      <c r="A581" s="26"/>
      <c r="B581" s="26"/>
      <c r="C581" s="26"/>
      <c r="D581" s="27" t="s">
        <v>494</v>
      </c>
      <c r="E581" s="142" t="s">
        <v>493</v>
      </c>
      <c r="F581" s="142"/>
      <c r="G581" s="27" t="s">
        <v>2151</v>
      </c>
      <c r="H581" s="34">
        <f>Kran!F50</f>
        <v>715000</v>
      </c>
      <c r="I581" s="34">
        <f>Kran!G50</f>
        <v>715000</v>
      </c>
      <c r="J581" s="37"/>
    </row>
    <row r="582" spans="1:10" ht="23.1" customHeight="1">
      <c r="A582" s="26"/>
      <c r="B582" s="26"/>
      <c r="C582" s="26"/>
      <c r="D582" s="27" t="s">
        <v>496</v>
      </c>
      <c r="E582" s="142" t="s">
        <v>495</v>
      </c>
      <c r="F582" s="142"/>
      <c r="G582" s="27" t="s">
        <v>2151</v>
      </c>
      <c r="H582" s="34">
        <f>Kran!F77</f>
        <v>2500000</v>
      </c>
      <c r="I582" s="34">
        <f>Kran!G77</f>
        <v>2500000</v>
      </c>
      <c r="J582" s="37"/>
    </row>
    <row r="583" spans="1:10" ht="23.1" customHeight="1">
      <c r="A583" s="26"/>
      <c r="B583" s="26"/>
      <c r="C583" s="26"/>
      <c r="D583" s="27" t="s">
        <v>498</v>
      </c>
      <c r="E583" s="142" t="s">
        <v>497</v>
      </c>
      <c r="F583" s="142"/>
      <c r="G583" s="27" t="s">
        <v>2151</v>
      </c>
      <c r="H583" s="34" t="e">
        <f>Kran!#REF!</f>
        <v>#REF!</v>
      </c>
      <c r="I583" s="34" t="e">
        <f>Kran!#REF!</f>
        <v>#REF!</v>
      </c>
      <c r="J583" s="37"/>
    </row>
    <row r="584" spans="1:10" ht="23.1" customHeight="1">
      <c r="A584" s="26"/>
      <c r="B584" s="26"/>
      <c r="C584" s="26"/>
      <c r="D584" s="27" t="s">
        <v>500</v>
      </c>
      <c r="E584" s="142" t="s">
        <v>499</v>
      </c>
      <c r="F584" s="142"/>
      <c r="G584" s="27" t="s">
        <v>2151</v>
      </c>
      <c r="H584" s="34" t="e">
        <f>Kran!#REF!</f>
        <v>#REF!</v>
      </c>
      <c r="I584" s="34" t="e">
        <f>Kran!#REF!</f>
        <v>#REF!</v>
      </c>
      <c r="J584" s="37"/>
    </row>
    <row r="585" spans="1:10" ht="23.1" customHeight="1">
      <c r="A585" s="26"/>
      <c r="B585" s="26"/>
      <c r="C585" s="26"/>
      <c r="D585" s="27" t="s">
        <v>501</v>
      </c>
      <c r="E585" s="142" t="s">
        <v>105</v>
      </c>
      <c r="F585" s="142"/>
      <c r="G585" s="27" t="s">
        <v>2151</v>
      </c>
      <c r="H585" s="34">
        <f>Kran!F75</f>
        <v>350000</v>
      </c>
      <c r="I585" s="34">
        <f>Kran!G75</f>
        <v>350000</v>
      </c>
      <c r="J585" s="37"/>
    </row>
    <row r="586" spans="1:10" ht="23.1" customHeight="1">
      <c r="A586" s="26"/>
      <c r="B586" s="26"/>
      <c r="C586" s="26"/>
      <c r="D586" s="27" t="s">
        <v>502</v>
      </c>
      <c r="E586" s="142" t="s">
        <v>106</v>
      </c>
      <c r="F586" s="142"/>
      <c r="G586" s="27" t="s">
        <v>2151</v>
      </c>
      <c r="H586" s="34">
        <f>Kran!F76</f>
        <v>525000</v>
      </c>
      <c r="I586" s="34">
        <f>Kran!G76</f>
        <v>525000</v>
      </c>
      <c r="J586" s="37"/>
    </row>
    <row r="587" spans="1:10" ht="23.1" customHeight="1">
      <c r="A587" s="26"/>
      <c r="B587" s="26"/>
      <c r="C587" s="26"/>
      <c r="D587" s="27" t="s">
        <v>468</v>
      </c>
      <c r="E587" s="142" t="s">
        <v>467</v>
      </c>
      <c r="F587" s="142"/>
      <c r="G587" s="27" t="s">
        <v>2151</v>
      </c>
      <c r="H587" s="34">
        <f>Kran!F31</f>
        <v>87500</v>
      </c>
      <c r="I587" s="34">
        <f>Kran!G31</f>
        <v>87500</v>
      </c>
      <c r="J587" s="37"/>
    </row>
    <row r="588" spans="1:10" ht="23.1" customHeight="1">
      <c r="A588" s="26"/>
      <c r="B588" s="26"/>
      <c r="C588" s="26"/>
      <c r="D588" s="27" t="s">
        <v>466</v>
      </c>
      <c r="E588" s="142" t="s">
        <v>465</v>
      </c>
      <c r="F588" s="142"/>
      <c r="G588" s="27" t="s">
        <v>2151</v>
      </c>
      <c r="H588" s="34">
        <f>Kran!F32</f>
        <v>92500</v>
      </c>
      <c r="I588" s="34">
        <f>Kran!G32</f>
        <v>92500</v>
      </c>
      <c r="J588" s="37"/>
    </row>
    <row r="589" spans="1:10" ht="23.1" customHeight="1">
      <c r="A589" s="26"/>
      <c r="B589" s="26"/>
      <c r="C589" s="26"/>
      <c r="D589" s="27" t="s">
        <v>477</v>
      </c>
      <c r="E589" s="142" t="s">
        <v>5</v>
      </c>
      <c r="F589" s="142"/>
      <c r="G589" s="27" t="s">
        <v>2151</v>
      </c>
      <c r="H589" s="34">
        <f>Kran!F19</f>
        <v>225000</v>
      </c>
      <c r="I589" s="34">
        <f>Kran!G19</f>
        <v>225000</v>
      </c>
      <c r="J589" s="37"/>
    </row>
    <row r="590" spans="1:10" ht="23.1" customHeight="1">
      <c r="A590" s="26"/>
      <c r="B590" s="26"/>
      <c r="C590" s="26"/>
      <c r="D590" s="27" t="s">
        <v>286</v>
      </c>
      <c r="E590" s="142" t="s">
        <v>285</v>
      </c>
      <c r="F590" s="142"/>
      <c r="G590" s="27" t="s">
        <v>2151</v>
      </c>
      <c r="H590" s="34">
        <f>Tabung!F36</f>
        <v>900000</v>
      </c>
      <c r="I590" s="34">
        <f>Tabung!G36</f>
        <v>900000</v>
      </c>
      <c r="J590" s="37"/>
    </row>
    <row r="591" spans="1:10" ht="23.1" customHeight="1">
      <c r="A591" s="26"/>
      <c r="B591" s="26"/>
      <c r="C591" s="26"/>
      <c r="D591" s="27" t="s">
        <v>291</v>
      </c>
      <c r="E591" s="142" t="s">
        <v>290</v>
      </c>
      <c r="F591" s="142"/>
      <c r="G591" s="27" t="s">
        <v>2151</v>
      </c>
      <c r="H591" s="34">
        <f>Tabung!F27</f>
        <v>2200000</v>
      </c>
      <c r="I591" s="34">
        <f>Tabung!G27</f>
        <v>2200000</v>
      </c>
      <c r="J591" s="37"/>
    </row>
    <row r="592" spans="1:10" ht="23.1" customHeight="1">
      <c r="A592" s="26"/>
      <c r="B592" s="26"/>
      <c r="C592" s="26"/>
      <c r="D592" s="27" t="s">
        <v>293</v>
      </c>
      <c r="E592" s="142" t="s">
        <v>292</v>
      </c>
      <c r="F592" s="142"/>
      <c r="G592" s="27" t="s">
        <v>2151</v>
      </c>
      <c r="H592" s="34">
        <f>Tabung!F28</f>
        <v>2750000</v>
      </c>
      <c r="I592" s="34">
        <f>Tabung!G28</f>
        <v>2750000</v>
      </c>
      <c r="J592" s="37"/>
    </row>
    <row r="593" spans="1:10" ht="23.1" customHeight="1">
      <c r="A593" s="26"/>
      <c r="B593" s="26"/>
      <c r="C593" s="26"/>
      <c r="D593" s="27" t="s">
        <v>295</v>
      </c>
      <c r="E593" s="142" t="s">
        <v>294</v>
      </c>
      <c r="F593" s="142"/>
      <c r="G593" s="27" t="s">
        <v>2151</v>
      </c>
      <c r="H593" s="34">
        <f>Tabung!F37</f>
        <v>900000</v>
      </c>
      <c r="I593" s="34">
        <f>Tabung!G37</f>
        <v>900000</v>
      </c>
      <c r="J593" s="37"/>
    </row>
    <row r="594" spans="1:10" ht="23.1" customHeight="1">
      <c r="A594" s="26"/>
      <c r="B594" s="26"/>
      <c r="C594" s="26"/>
      <c r="D594" s="27" t="s">
        <v>299</v>
      </c>
      <c r="E594" s="142" t="s">
        <v>298</v>
      </c>
      <c r="F594" s="142"/>
      <c r="G594" s="27" t="s">
        <v>2151</v>
      </c>
      <c r="H594" s="34">
        <f>Tabung!F36</f>
        <v>900000</v>
      </c>
      <c r="I594" s="34">
        <f>Tabung!G36</f>
        <v>900000</v>
      </c>
      <c r="J594" s="37"/>
    </row>
    <row r="595" spans="1:10" ht="23.1" customHeight="1">
      <c r="A595" s="26"/>
      <c r="B595" s="26"/>
      <c r="C595" s="26"/>
      <c r="D595" s="27" t="s">
        <v>301</v>
      </c>
      <c r="E595" s="142" t="s">
        <v>300</v>
      </c>
      <c r="F595" s="142"/>
      <c r="G595" s="27" t="s">
        <v>2151</v>
      </c>
      <c r="H595" s="34"/>
      <c r="I595" s="34"/>
      <c r="J595" s="37"/>
    </row>
    <row r="596" spans="1:10" ht="23.1" customHeight="1">
      <c r="A596" s="26"/>
      <c r="B596" s="26"/>
      <c r="C596" s="26"/>
      <c r="D596" s="27" t="s">
        <v>303</v>
      </c>
      <c r="E596" s="142" t="s">
        <v>302</v>
      </c>
      <c r="F596" s="142"/>
      <c r="G596" s="27" t="s">
        <v>2151</v>
      </c>
      <c r="H596" s="34">
        <f>Tabung!F27+Kran!F42</f>
        <v>2292500</v>
      </c>
      <c r="I596" s="34">
        <f>Tabung!G27+Kran!G42</f>
        <v>2292500</v>
      </c>
      <c r="J596" s="37"/>
    </row>
    <row r="597" spans="1:10" ht="23.1" customHeight="1">
      <c r="A597" s="26"/>
      <c r="B597" s="26"/>
      <c r="C597" s="26"/>
      <c r="D597" s="27" t="s">
        <v>305</v>
      </c>
      <c r="E597" s="142" t="s">
        <v>304</v>
      </c>
      <c r="F597" s="142"/>
      <c r="G597" s="27" t="s">
        <v>2151</v>
      </c>
      <c r="H597" s="34">
        <f>Tabung!F37</f>
        <v>900000</v>
      </c>
      <c r="I597" s="34">
        <f>Tabung!G37</f>
        <v>900000</v>
      </c>
      <c r="J597" s="37"/>
    </row>
    <row r="598" spans="1:10" ht="23.1" customHeight="1">
      <c r="A598" s="26"/>
      <c r="B598" s="26"/>
      <c r="C598" s="26"/>
      <c r="D598" s="27" t="s">
        <v>309</v>
      </c>
      <c r="E598" s="142" t="s">
        <v>308</v>
      </c>
      <c r="F598" s="142"/>
      <c r="G598" s="27" t="s">
        <v>2151</v>
      </c>
      <c r="H598" s="34">
        <f>Tabung!F27+Kran!F42</f>
        <v>2292500</v>
      </c>
      <c r="I598" s="34">
        <f>Tabung!G27+Kran!G42</f>
        <v>2292500</v>
      </c>
      <c r="J598" s="37"/>
    </row>
    <row r="599" spans="1:10" ht="23.1" customHeight="1">
      <c r="A599" s="26"/>
      <c r="B599" s="26"/>
      <c r="C599" s="26"/>
      <c r="D599" s="27" t="s">
        <v>311</v>
      </c>
      <c r="E599" s="142" t="s">
        <v>310</v>
      </c>
      <c r="F599" s="142"/>
      <c r="G599" s="27" t="s">
        <v>2151</v>
      </c>
      <c r="H599" s="34">
        <f>Tabung!F36+Kran!F30</f>
        <v>992500</v>
      </c>
      <c r="I599" s="34">
        <f>Tabung!G36+Kran!G30</f>
        <v>992500</v>
      </c>
      <c r="J599" s="37"/>
    </row>
    <row r="600" spans="1:10" ht="23.1" customHeight="1">
      <c r="A600" s="26"/>
      <c r="B600" s="26"/>
      <c r="C600" s="26"/>
      <c r="D600" s="27" t="s">
        <v>327</v>
      </c>
      <c r="E600" s="142" t="s">
        <v>326</v>
      </c>
      <c r="F600" s="142"/>
      <c r="G600" s="27" t="s">
        <v>2151</v>
      </c>
      <c r="H600" s="34">
        <f>Tabung!F16</f>
        <v>295000</v>
      </c>
      <c r="I600" s="34">
        <f>Tabung!G16</f>
        <v>295000</v>
      </c>
      <c r="J600" s="37"/>
    </row>
    <row r="601" spans="1:10" ht="23.1" customHeight="1">
      <c r="A601" s="26"/>
      <c r="B601" s="26"/>
      <c r="C601" s="26"/>
      <c r="D601" s="27" t="s">
        <v>329</v>
      </c>
      <c r="E601" s="142" t="s">
        <v>328</v>
      </c>
      <c r="F601" s="142"/>
      <c r="G601" s="27" t="s">
        <v>2151</v>
      </c>
      <c r="H601" s="34">
        <f>Tabung!F18</f>
        <v>295000</v>
      </c>
      <c r="I601" s="34">
        <f>Tabung!G18</f>
        <v>295000</v>
      </c>
      <c r="J601" s="37"/>
    </row>
    <row r="602" spans="1:10" ht="23.1" customHeight="1">
      <c r="A602" s="26"/>
      <c r="B602" s="26"/>
      <c r="C602" s="26"/>
      <c r="D602" s="27" t="s">
        <v>331</v>
      </c>
      <c r="E602" s="142" t="s">
        <v>330</v>
      </c>
      <c r="F602" s="142"/>
      <c r="G602" s="27" t="s">
        <v>2151</v>
      </c>
      <c r="H602" s="34">
        <f>Tabung!F22</f>
        <v>295000</v>
      </c>
      <c r="I602" s="34">
        <f>Tabung!G22</f>
        <v>295000</v>
      </c>
      <c r="J602" s="37"/>
    </row>
    <row r="603" spans="1:10" ht="23.1" customHeight="1">
      <c r="A603" s="26"/>
      <c r="B603" s="26"/>
      <c r="C603" s="26"/>
      <c r="D603" s="27" t="s">
        <v>333</v>
      </c>
      <c r="E603" s="142" t="s">
        <v>332</v>
      </c>
      <c r="F603" s="142"/>
      <c r="G603" s="27" t="s">
        <v>2151</v>
      </c>
      <c r="H603" s="34">
        <f>Tabung!F24</f>
        <v>500000</v>
      </c>
      <c r="I603" s="34">
        <f>Tabung!G24</f>
        <v>500000</v>
      </c>
      <c r="J603" s="37"/>
    </row>
    <row r="604" spans="1:10" ht="23.1" customHeight="1">
      <c r="A604" s="26"/>
      <c r="B604" s="26"/>
      <c r="C604" s="26"/>
      <c r="D604" s="27" t="s">
        <v>335</v>
      </c>
      <c r="E604" s="142" t="s">
        <v>334</v>
      </c>
      <c r="F604" s="142"/>
      <c r="G604" s="27" t="s">
        <v>2151</v>
      </c>
      <c r="H604" s="34">
        <f>Tabung!F31</f>
        <v>550000</v>
      </c>
      <c r="I604" s="34">
        <f>Tabung!G31</f>
        <v>550000</v>
      </c>
      <c r="J604" s="37"/>
    </row>
    <row r="605" spans="1:10" ht="23.1" customHeight="1">
      <c r="A605" s="26"/>
      <c r="B605" s="26"/>
      <c r="C605" s="26"/>
      <c r="D605" s="27" t="s">
        <v>337</v>
      </c>
      <c r="E605" s="142" t="s">
        <v>336</v>
      </c>
      <c r="F605" s="142"/>
      <c r="G605" s="27" t="s">
        <v>2151</v>
      </c>
      <c r="H605" s="34">
        <f>Tabung!F33</f>
        <v>1200000</v>
      </c>
      <c r="I605" s="34">
        <f>Tabung!G33</f>
        <v>1200000</v>
      </c>
      <c r="J605" s="37"/>
    </row>
    <row r="606" spans="1:10" ht="23.1" customHeight="1">
      <c r="A606" s="26"/>
      <c r="B606" s="26"/>
      <c r="C606" s="26"/>
      <c r="D606" s="27" t="s">
        <v>341</v>
      </c>
      <c r="E606" s="142" t="s">
        <v>340</v>
      </c>
      <c r="F606" s="142"/>
      <c r="G606" s="27" t="s">
        <v>2151</v>
      </c>
      <c r="H606" s="34">
        <f>Tabung!F35</f>
        <v>1000000</v>
      </c>
      <c r="I606" s="34">
        <f>Tabung!G35</f>
        <v>1025000</v>
      </c>
      <c r="J606" s="37"/>
    </row>
    <row r="607" spans="1:10" ht="23.1" customHeight="1">
      <c r="A607" s="26"/>
      <c r="B607" s="26"/>
      <c r="C607" s="26"/>
      <c r="D607" s="27" t="s">
        <v>343</v>
      </c>
      <c r="E607" s="142" t="s">
        <v>342</v>
      </c>
      <c r="F607" s="142"/>
      <c r="G607" s="27" t="s">
        <v>2151</v>
      </c>
      <c r="H607" s="34">
        <f>Tabung!F41</f>
        <v>1250000</v>
      </c>
      <c r="I607" s="34">
        <f>Tabung!G41</f>
        <v>1250000</v>
      </c>
      <c r="J607" s="37"/>
    </row>
    <row r="608" spans="1:10" ht="23.1" customHeight="1">
      <c r="A608" s="26"/>
      <c r="B608" s="26"/>
      <c r="C608" s="26"/>
      <c r="D608" s="27" t="s">
        <v>347</v>
      </c>
      <c r="E608" s="142" t="s">
        <v>346</v>
      </c>
      <c r="F608" s="142"/>
      <c r="G608" s="27" t="s">
        <v>2151</v>
      </c>
      <c r="H608" s="34">
        <f>Tabung!F38</f>
        <v>1400000</v>
      </c>
      <c r="I608" s="34">
        <f>Tabung!G38</f>
        <v>1400000</v>
      </c>
      <c r="J608" s="37"/>
    </row>
    <row r="609" spans="1:10" ht="23.1" customHeight="1">
      <c r="A609" s="26"/>
      <c r="B609" s="26"/>
      <c r="C609" s="26"/>
      <c r="D609" s="27" t="s">
        <v>349</v>
      </c>
      <c r="E609" s="142" t="s">
        <v>348</v>
      </c>
      <c r="F609" s="142"/>
      <c r="G609" s="27" t="s">
        <v>2151</v>
      </c>
      <c r="H609" s="34">
        <f>Tabung!F38</f>
        <v>1400000</v>
      </c>
      <c r="I609" s="34">
        <f>Tabung!G38</f>
        <v>1400000</v>
      </c>
      <c r="J609" s="37"/>
    </row>
    <row r="610" spans="1:10" ht="23.1" customHeight="1">
      <c r="A610" s="26"/>
      <c r="B610" s="26"/>
      <c r="C610" s="26"/>
      <c r="D610" s="27" t="s">
        <v>353</v>
      </c>
      <c r="E610" s="142" t="s">
        <v>352</v>
      </c>
      <c r="F610" s="142"/>
      <c r="G610" s="27" t="s">
        <v>2151</v>
      </c>
      <c r="H610" s="34">
        <f>Tabung!F43</f>
        <v>330000</v>
      </c>
      <c r="I610" s="34">
        <f>Tabung!G43</f>
        <v>330000</v>
      </c>
      <c r="J610" s="37"/>
    </row>
    <row r="611" spans="1:10" ht="23.1" customHeight="1">
      <c r="A611" s="26"/>
      <c r="B611" s="26"/>
      <c r="C611" s="26"/>
      <c r="D611" s="27" t="s">
        <v>359</v>
      </c>
      <c r="E611" s="142" t="s">
        <v>358</v>
      </c>
      <c r="F611" s="142"/>
      <c r="G611" s="27" t="s">
        <v>2151</v>
      </c>
      <c r="H611" s="34">
        <f>Tabung!F45</f>
        <v>350000</v>
      </c>
      <c r="I611" s="34">
        <f>Tabung!G45</f>
        <v>350000</v>
      </c>
      <c r="J611" s="37"/>
    </row>
    <row r="612" spans="1:10" ht="23.1" customHeight="1">
      <c r="A612" s="26"/>
      <c r="B612" s="26"/>
      <c r="C612" s="26"/>
      <c r="D612" s="27" t="s">
        <v>361</v>
      </c>
      <c r="E612" s="142" t="s">
        <v>360</v>
      </c>
      <c r="F612" s="142"/>
      <c r="G612" s="27" t="s">
        <v>2151</v>
      </c>
      <c r="H612" s="34">
        <f>Tabung!F46</f>
        <v>375000</v>
      </c>
      <c r="I612" s="34">
        <f>Tabung!G46</f>
        <v>375000</v>
      </c>
      <c r="J612" s="37"/>
    </row>
    <row r="613" spans="1:10" ht="23.1" customHeight="1">
      <c r="A613" s="26"/>
      <c r="B613" s="26"/>
      <c r="C613" s="26"/>
      <c r="D613" s="27" t="s">
        <v>363</v>
      </c>
      <c r="E613" s="142" t="s">
        <v>362</v>
      </c>
      <c r="F613" s="142"/>
      <c r="G613" s="27" t="s">
        <v>2151</v>
      </c>
      <c r="H613" s="34">
        <f>Tabung!F5</f>
        <v>2550000</v>
      </c>
      <c r="I613" s="34">
        <f>Tabung!G5</f>
        <v>2650000</v>
      </c>
      <c r="J613" s="37"/>
    </row>
    <row r="614" spans="1:10" ht="23.1" customHeight="1">
      <c r="A614" s="26"/>
      <c r="B614" s="26"/>
      <c r="C614" s="26"/>
      <c r="D614" s="27" t="s">
        <v>365</v>
      </c>
      <c r="E614" s="142" t="s">
        <v>364</v>
      </c>
      <c r="F614" s="142"/>
      <c r="G614" s="27" t="s">
        <v>2151</v>
      </c>
      <c r="H614" s="34">
        <f>Tabung!F6</f>
        <v>2600000</v>
      </c>
      <c r="I614" s="34">
        <f>Tabung!G6</f>
        <v>2700000</v>
      </c>
      <c r="J614" s="37"/>
    </row>
    <row r="615" spans="1:10" ht="23.1" customHeight="1">
      <c r="A615" s="26"/>
      <c r="B615" s="26"/>
      <c r="C615" s="26"/>
      <c r="D615" s="27" t="s">
        <v>367</v>
      </c>
      <c r="E615" s="142" t="s">
        <v>366</v>
      </c>
      <c r="F615" s="142"/>
      <c r="G615" s="27" t="s">
        <v>2151</v>
      </c>
      <c r="H615" s="34">
        <f>Tabung!F7</f>
        <v>2600000</v>
      </c>
      <c r="I615" s="34">
        <f>Tabung!G7</f>
        <v>2700000</v>
      </c>
      <c r="J615" s="37"/>
    </row>
    <row r="616" spans="1:10" ht="23.1" customHeight="1">
      <c r="A616" s="26"/>
      <c r="B616" s="26"/>
      <c r="C616" s="26"/>
      <c r="D616" s="27" t="s">
        <v>369</v>
      </c>
      <c r="E616" s="142" t="s">
        <v>368</v>
      </c>
      <c r="F616" s="142"/>
      <c r="G616" s="27" t="s">
        <v>2151</v>
      </c>
      <c r="H616" s="34">
        <f>Tabung!F8</f>
        <v>2700000</v>
      </c>
      <c r="I616" s="34">
        <f>Tabung!G8</f>
        <v>2800000</v>
      </c>
      <c r="J616" s="37"/>
    </row>
    <row r="617" spans="1:10" ht="23.1" customHeight="1">
      <c r="A617" s="26"/>
      <c r="B617" s="26"/>
      <c r="C617" s="26"/>
      <c r="D617" s="27" t="s">
        <v>371</v>
      </c>
      <c r="E617" s="142" t="s">
        <v>370</v>
      </c>
      <c r="F617" s="142"/>
      <c r="G617" s="27" t="s">
        <v>2151</v>
      </c>
      <c r="H617" s="34">
        <f>Tabung!F9</f>
        <v>4500000</v>
      </c>
      <c r="I617" s="34">
        <f>Tabung!G9</f>
        <v>4650000</v>
      </c>
      <c r="J617" s="37"/>
    </row>
    <row r="618" spans="1:10" ht="23.1" customHeight="1">
      <c r="A618" s="26"/>
      <c r="B618" s="26"/>
      <c r="C618" s="26"/>
      <c r="D618" s="27" t="s">
        <v>373</v>
      </c>
      <c r="E618" s="142" t="s">
        <v>372</v>
      </c>
      <c r="F618" s="142"/>
      <c r="G618" s="27" t="s">
        <v>2151</v>
      </c>
      <c r="H618" s="34">
        <f>Tabung!F10</f>
        <v>5200000</v>
      </c>
      <c r="I618" s="34">
        <f>Tabung!G10</f>
        <v>5350000</v>
      </c>
      <c r="J618" s="37"/>
    </row>
    <row r="619" spans="1:10" ht="23.1" customHeight="1">
      <c r="A619" s="26"/>
      <c r="B619" s="26"/>
      <c r="C619" s="26"/>
      <c r="D619" s="27" t="s">
        <v>375</v>
      </c>
      <c r="E619" s="142" t="s">
        <v>374</v>
      </c>
      <c r="F619" s="142"/>
      <c r="G619" s="27" t="s">
        <v>2151</v>
      </c>
      <c r="H619" s="34">
        <f>Tabung!F11</f>
        <v>5800000</v>
      </c>
      <c r="I619" s="34">
        <f>Tabung!G11</f>
        <v>5950000</v>
      </c>
      <c r="J619" s="37"/>
    </row>
    <row r="620" spans="1:10" ht="23.1" customHeight="1">
      <c r="A620" s="26"/>
      <c r="B620" s="26"/>
      <c r="C620" s="26"/>
      <c r="D620" s="27" t="s">
        <v>377</v>
      </c>
      <c r="E620" s="142" t="s">
        <v>376</v>
      </c>
      <c r="F620" s="142"/>
      <c r="G620" s="27" t="s">
        <v>2151</v>
      </c>
      <c r="H620" s="34">
        <f>Tabung!F12</f>
        <v>9600000</v>
      </c>
      <c r="I620" s="34">
        <f>Tabung!G12</f>
        <v>9700000</v>
      </c>
      <c r="J620" s="37"/>
    </row>
    <row r="621" spans="1:10" ht="23.1" customHeight="1">
      <c r="A621" s="26"/>
      <c r="B621" s="26"/>
      <c r="C621" s="26"/>
      <c r="D621" s="27" t="s">
        <v>379</v>
      </c>
      <c r="E621" s="142" t="s">
        <v>378</v>
      </c>
      <c r="F621" s="142"/>
      <c r="G621" s="27" t="s">
        <v>2151</v>
      </c>
      <c r="H621" s="34" t="str">
        <f>Tabung!F56</f>
        <v xml:space="preserve"> </v>
      </c>
      <c r="I621" s="34">
        <f>Tabung!G56</f>
        <v>19500000</v>
      </c>
      <c r="J621" s="37"/>
    </row>
    <row r="622" spans="1:10" ht="23.1" customHeight="1">
      <c r="A622" s="26"/>
      <c r="B622" s="26"/>
      <c r="C622" s="26"/>
      <c r="D622" s="27" t="s">
        <v>381</v>
      </c>
      <c r="E622" s="142" t="s">
        <v>380</v>
      </c>
      <c r="F622" s="142"/>
      <c r="G622" s="27" t="s">
        <v>2151</v>
      </c>
      <c r="H622" s="34">
        <f>Tabung!F50</f>
        <v>14500000</v>
      </c>
      <c r="I622" s="34">
        <f>Tabung!G50</f>
        <v>14700000</v>
      </c>
      <c r="J622" s="37"/>
    </row>
    <row r="623" spans="1:10" ht="23.1" customHeight="1">
      <c r="A623" s="26"/>
      <c r="B623" s="26"/>
      <c r="C623" s="26"/>
      <c r="D623" s="27" t="s">
        <v>383</v>
      </c>
      <c r="E623" s="142" t="s">
        <v>382</v>
      </c>
      <c r="F623" s="142"/>
      <c r="G623" s="27" t="s">
        <v>2151</v>
      </c>
      <c r="H623" s="34">
        <f>Tabung!F51</f>
        <v>18500000</v>
      </c>
      <c r="I623" s="34">
        <f>Tabung!G51</f>
        <v>18700000</v>
      </c>
      <c r="J623" s="37"/>
    </row>
    <row r="624" spans="1:10" ht="23.1" customHeight="1">
      <c r="A624" s="26"/>
      <c r="B624" s="26"/>
      <c r="C624" s="26"/>
      <c r="D624" s="27" t="s">
        <v>385</v>
      </c>
      <c r="E624" s="142" t="s">
        <v>384</v>
      </c>
      <c r="F624" s="142"/>
      <c r="G624" s="27" t="s">
        <v>2151</v>
      </c>
      <c r="H624" s="34">
        <f>Tabung!F53</f>
        <v>17500000</v>
      </c>
      <c r="I624" s="34">
        <f>Tabung!G53</f>
        <v>17700000</v>
      </c>
      <c r="J624" s="37"/>
    </row>
    <row r="625" spans="1:10" ht="23.1" customHeight="1">
      <c r="A625" s="26"/>
      <c r="B625" s="26"/>
      <c r="C625" s="26"/>
      <c r="D625" s="27" t="s">
        <v>2179</v>
      </c>
      <c r="E625" s="142" t="s">
        <v>2178</v>
      </c>
      <c r="F625" s="142"/>
      <c r="G625" s="27" t="s">
        <v>2151</v>
      </c>
      <c r="H625" s="34">
        <f>Tabung!F27</f>
        <v>2200000</v>
      </c>
      <c r="I625" s="34">
        <f>Tabung!G27</f>
        <v>2200000</v>
      </c>
      <c r="J625" s="37"/>
    </row>
    <row r="626" spans="1:10" ht="23.1" customHeight="1">
      <c r="A626" s="26"/>
      <c r="B626" s="26"/>
      <c r="C626" s="26"/>
      <c r="D626" s="27" t="s">
        <v>357</v>
      </c>
      <c r="E626" s="142" t="s">
        <v>2177</v>
      </c>
      <c r="F626" s="142"/>
      <c r="G626" s="27" t="s">
        <v>2151</v>
      </c>
      <c r="H626" s="34">
        <f>Tabung!F44</f>
        <v>330000</v>
      </c>
      <c r="I626" s="34">
        <f>Tabung!G44</f>
        <v>330000</v>
      </c>
      <c r="J626" s="37"/>
    </row>
    <row r="627" spans="1:10" ht="23.1" customHeight="1">
      <c r="A627" s="26"/>
      <c r="B627" s="26"/>
      <c r="C627" s="26"/>
      <c r="D627" s="27" t="s">
        <v>1298</v>
      </c>
      <c r="E627" s="142" t="s">
        <v>2176</v>
      </c>
      <c r="F627" s="142"/>
      <c r="G627" s="27" t="s">
        <v>2151</v>
      </c>
      <c r="H627" s="34">
        <f>Tabung!F36+Kran!F55+Gas!D124</f>
        <v>3935000</v>
      </c>
      <c r="I627" s="34">
        <f>Tabung!G36+Kran!G55+Gas!E124</f>
        <v>3935000</v>
      </c>
      <c r="J627" s="37"/>
    </row>
    <row r="628" spans="1:10" ht="23.1" customHeight="1">
      <c r="A628" s="26"/>
      <c r="B628" s="26"/>
      <c r="C628" s="26"/>
      <c r="D628" s="27" t="s">
        <v>1224</v>
      </c>
      <c r="E628" s="142" t="s">
        <v>1223</v>
      </c>
      <c r="F628" s="142"/>
      <c r="G628" s="27" t="s">
        <v>2151</v>
      </c>
      <c r="H628" s="34">
        <f>Tabung!F16</f>
        <v>295000</v>
      </c>
      <c r="I628" s="34">
        <f>Tabung!G16</f>
        <v>295000</v>
      </c>
      <c r="J628" s="37"/>
    </row>
    <row r="629" spans="1:10" ht="23.1" customHeight="1">
      <c r="A629" s="26"/>
      <c r="B629" s="26"/>
      <c r="C629" s="26"/>
      <c r="D629" s="27" t="s">
        <v>1226</v>
      </c>
      <c r="E629" s="142" t="s">
        <v>1225</v>
      </c>
      <c r="F629" s="142"/>
      <c r="G629" s="27" t="s">
        <v>2151</v>
      </c>
      <c r="H629" s="34"/>
      <c r="I629" s="34"/>
      <c r="J629" s="44" t="s">
        <v>2396</v>
      </c>
    </row>
    <row r="630" spans="1:10" ht="23.1" customHeight="1">
      <c r="A630" s="26"/>
      <c r="B630" s="26"/>
      <c r="C630" s="26"/>
      <c r="D630" s="27" t="s">
        <v>1228</v>
      </c>
      <c r="E630" s="142" t="s">
        <v>1227</v>
      </c>
      <c r="F630" s="142"/>
      <c r="G630" s="27" t="s">
        <v>2151</v>
      </c>
      <c r="H630" s="34">
        <f>Tabung!F36+Gas!D136</f>
        <v>8670000</v>
      </c>
      <c r="I630" s="34">
        <f>Tabung!G36+Gas!E136</f>
        <v>900000</v>
      </c>
      <c r="J630" s="37"/>
    </row>
    <row r="631" spans="1:10" ht="23.1" customHeight="1">
      <c r="A631" s="26"/>
      <c r="B631" s="26"/>
      <c r="C631" s="26"/>
      <c r="D631" s="27" t="s">
        <v>1232</v>
      </c>
      <c r="E631" s="142" t="s">
        <v>1231</v>
      </c>
      <c r="F631" s="142"/>
      <c r="G631" s="27" t="s">
        <v>2151</v>
      </c>
      <c r="H631" s="34">
        <f>Tabung!F19</f>
        <v>295000</v>
      </c>
      <c r="I631" s="34">
        <f>Tabung!G19</f>
        <v>295000</v>
      </c>
      <c r="J631" s="37"/>
    </row>
    <row r="632" spans="1:10" ht="23.1" customHeight="1">
      <c r="A632" s="26"/>
      <c r="B632" s="26"/>
      <c r="C632" s="26"/>
      <c r="D632" s="27" t="s">
        <v>1234</v>
      </c>
      <c r="E632" s="142" t="s">
        <v>1233</v>
      </c>
      <c r="F632" s="142"/>
      <c r="G632" s="27" t="s">
        <v>2151</v>
      </c>
      <c r="H632" s="34">
        <f>Tabung!F18</f>
        <v>295000</v>
      </c>
      <c r="I632" s="34">
        <f>Tabung!G18</f>
        <v>295000</v>
      </c>
      <c r="J632" s="37"/>
    </row>
    <row r="633" spans="1:10" ht="23.1" customHeight="1">
      <c r="A633" s="26"/>
      <c r="B633" s="26"/>
      <c r="C633" s="26"/>
      <c r="D633" s="27" t="s">
        <v>1236</v>
      </c>
      <c r="E633" s="142" t="s">
        <v>1235</v>
      </c>
      <c r="F633" s="142"/>
      <c r="G633" s="27" t="s">
        <v>2151</v>
      </c>
      <c r="H633" s="34">
        <f>Tabung!F21+Gas!D106</f>
        <v>325000</v>
      </c>
      <c r="I633" s="34">
        <f>Tabung!G21+Gas!E106</f>
        <v>325000</v>
      </c>
      <c r="J633" s="37"/>
    </row>
    <row r="634" spans="1:10" ht="23.1" customHeight="1">
      <c r="A634" s="26"/>
      <c r="B634" s="26"/>
      <c r="C634" s="26"/>
      <c r="D634" s="27" t="s">
        <v>1238</v>
      </c>
      <c r="E634" s="142" t="s">
        <v>1237</v>
      </c>
      <c r="F634" s="142"/>
      <c r="G634" s="27" t="s">
        <v>2151</v>
      </c>
      <c r="H634" s="34">
        <f>Tabung!F21</f>
        <v>295000</v>
      </c>
      <c r="I634" s="34">
        <f>Tabung!G21</f>
        <v>295000</v>
      </c>
      <c r="J634" s="37"/>
    </row>
    <row r="635" spans="1:10" ht="23.1" customHeight="1">
      <c r="A635" s="26"/>
      <c r="B635" s="26"/>
      <c r="C635" s="26"/>
      <c r="D635" s="27" t="s">
        <v>1240</v>
      </c>
      <c r="E635" s="142" t="s">
        <v>1239</v>
      </c>
      <c r="F635" s="142"/>
      <c r="G635" s="27" t="s">
        <v>2151</v>
      </c>
      <c r="H635" s="34">
        <f>Tabung!F22+Gas!D106</f>
        <v>325000</v>
      </c>
      <c r="I635" s="34">
        <f>Tabung!G22+Gas!E106</f>
        <v>325000</v>
      </c>
      <c r="J635" s="37"/>
    </row>
    <row r="636" spans="1:10" ht="23.1" customHeight="1">
      <c r="A636" s="26"/>
      <c r="B636" s="26"/>
      <c r="C636" s="26"/>
      <c r="D636" s="27" t="s">
        <v>1242</v>
      </c>
      <c r="E636" s="142" t="s">
        <v>1241</v>
      </c>
      <c r="F636" s="142"/>
      <c r="G636" s="27" t="s">
        <v>2151</v>
      </c>
      <c r="H636" s="34">
        <f>Tabung!F22</f>
        <v>295000</v>
      </c>
      <c r="I636" s="34">
        <f>Tabung!G22</f>
        <v>295000</v>
      </c>
      <c r="J636" s="37"/>
    </row>
    <row r="637" spans="1:10" ht="23.1" customHeight="1">
      <c r="A637" s="26"/>
      <c r="B637" s="26"/>
      <c r="C637" s="26"/>
      <c r="D637" s="27" t="s">
        <v>1250</v>
      </c>
      <c r="E637" s="142" t="s">
        <v>1249</v>
      </c>
      <c r="F637" s="142"/>
      <c r="G637" s="27" t="s">
        <v>2151</v>
      </c>
      <c r="H637" s="34">
        <f>Tabung!F24+Gas!D106</f>
        <v>530000</v>
      </c>
      <c r="I637" s="34">
        <f>Tabung!G24+Gas!E106</f>
        <v>530000</v>
      </c>
      <c r="J637" s="37"/>
    </row>
    <row r="638" spans="1:10" ht="23.1" customHeight="1">
      <c r="A638" s="26"/>
      <c r="B638" s="26"/>
      <c r="C638" s="26"/>
      <c r="D638" s="27" t="s">
        <v>1254</v>
      </c>
      <c r="E638" s="142" t="s">
        <v>1253</v>
      </c>
      <c r="F638" s="142"/>
      <c r="G638" s="27" t="s">
        <v>2151</v>
      </c>
      <c r="H638" s="34">
        <f>Tabung!F35+Gas!D111</f>
        <v>1035000</v>
      </c>
      <c r="I638" s="34">
        <f>Tabung!G35+Gas!E111</f>
        <v>1065000</v>
      </c>
      <c r="J638" s="37"/>
    </row>
    <row r="639" spans="1:10" ht="23.1" customHeight="1">
      <c r="A639" s="26"/>
      <c r="B639" s="26"/>
      <c r="C639" s="26"/>
      <c r="D639" s="27" t="s">
        <v>1256</v>
      </c>
      <c r="E639" s="142" t="s">
        <v>1255</v>
      </c>
      <c r="F639" s="142"/>
      <c r="G639" s="27" t="s">
        <v>2151</v>
      </c>
      <c r="H639" s="34">
        <f>Tabung!F24</f>
        <v>500000</v>
      </c>
      <c r="I639" s="34">
        <f>Tabung!G24</f>
        <v>500000</v>
      </c>
      <c r="J639" s="37"/>
    </row>
    <row r="640" spans="1:10" ht="23.1" customHeight="1">
      <c r="A640" s="26"/>
      <c r="B640" s="26"/>
      <c r="C640" s="26"/>
      <c r="D640" s="27" t="s">
        <v>1260</v>
      </c>
      <c r="E640" s="142" t="s">
        <v>1259</v>
      </c>
      <c r="F640" s="142"/>
      <c r="G640" s="27" t="s">
        <v>2151</v>
      </c>
      <c r="H640" s="34">
        <f>Tabung!F29+Gas!D113</f>
        <v>2800000</v>
      </c>
      <c r="I640" s="34">
        <f>Tabung!G29+Gas!E113</f>
        <v>2925000</v>
      </c>
      <c r="J640" s="37"/>
    </row>
    <row r="641" spans="1:10" ht="23.1" customHeight="1">
      <c r="A641" s="26"/>
      <c r="B641" s="26"/>
      <c r="C641" s="26"/>
      <c r="D641" s="27" t="s">
        <v>1262</v>
      </c>
      <c r="E641" s="142" t="s">
        <v>1261</v>
      </c>
      <c r="F641" s="142"/>
      <c r="G641" s="27" t="s">
        <v>2151</v>
      </c>
      <c r="H641" s="34">
        <f>Tabung!F29+Gas!D138</f>
        <v>2250000</v>
      </c>
      <c r="I641" s="34">
        <f>Tabung!G29+Gas!E138</f>
        <v>2250000</v>
      </c>
      <c r="J641" s="37"/>
    </row>
    <row r="642" spans="1:10" ht="23.1" customHeight="1">
      <c r="A642" s="26"/>
      <c r="B642" s="26"/>
      <c r="C642" s="26"/>
      <c r="D642" s="27" t="s">
        <v>1264</v>
      </c>
      <c r="E642" s="142" t="s">
        <v>1263</v>
      </c>
      <c r="F642" s="142"/>
      <c r="G642" s="27" t="s">
        <v>2151</v>
      </c>
      <c r="H642" s="34" t="e">
        <f>Tabung!F28+Kran!F41+Gas!#REF!</f>
        <v>#REF!</v>
      </c>
      <c r="I642" s="34" t="e">
        <f>Tabung!G28+Kran!G41+Gas!#REF!</f>
        <v>#REF!</v>
      </c>
      <c r="J642" s="37"/>
    </row>
    <row r="643" spans="1:10" ht="23.1" customHeight="1">
      <c r="A643" s="26"/>
      <c r="B643" s="26"/>
      <c r="C643" s="26"/>
      <c r="D643" s="27" t="s">
        <v>1266</v>
      </c>
      <c r="E643" s="142" t="s">
        <v>1265</v>
      </c>
      <c r="F643" s="142"/>
      <c r="G643" s="27" t="s">
        <v>2151</v>
      </c>
      <c r="H643" s="34" t="e">
        <f>Tabung!F28+Kran!F41+Gas!#REF!</f>
        <v>#REF!</v>
      </c>
      <c r="I643" s="34" t="e">
        <f>Tabung!G28+Kran!G41+Gas!#REF!</f>
        <v>#REF!</v>
      </c>
      <c r="J643" s="37"/>
    </row>
    <row r="644" spans="1:10" ht="23.1" customHeight="1">
      <c r="A644" s="26"/>
      <c r="B644" s="26"/>
      <c r="C644" s="26"/>
      <c r="D644" s="27" t="s">
        <v>1268</v>
      </c>
      <c r="E644" s="142" t="s">
        <v>1267</v>
      </c>
      <c r="F644" s="142"/>
      <c r="G644" s="27" t="s">
        <v>2151</v>
      </c>
      <c r="H644" s="34"/>
      <c r="I644" s="34"/>
      <c r="J644" s="37"/>
    </row>
    <row r="645" spans="1:10" ht="23.1" customHeight="1">
      <c r="A645" s="26"/>
      <c r="B645" s="26"/>
      <c r="C645" s="26"/>
      <c r="D645" s="27" t="s">
        <v>1276</v>
      </c>
      <c r="E645" s="142" t="s">
        <v>1275</v>
      </c>
      <c r="F645" s="142"/>
      <c r="G645" s="27" t="s">
        <v>2151</v>
      </c>
      <c r="H645" s="34">
        <f>Tabung!F31+Gas!D106</f>
        <v>580000</v>
      </c>
      <c r="I645" s="34">
        <f>Tabung!G31+Gas!E106</f>
        <v>580000</v>
      </c>
      <c r="J645" s="37"/>
    </row>
    <row r="646" spans="1:10" ht="23.1" customHeight="1">
      <c r="A646" s="26"/>
      <c r="B646" s="26"/>
      <c r="C646" s="26"/>
      <c r="D646" s="27" t="s">
        <v>1278</v>
      </c>
      <c r="E646" s="142" t="s">
        <v>1277</v>
      </c>
      <c r="F646" s="142"/>
      <c r="G646" s="27" t="s">
        <v>2151</v>
      </c>
      <c r="H646" s="34">
        <f>Tabung!F31</f>
        <v>550000</v>
      </c>
      <c r="I646" s="34">
        <f>Tabung!G31</f>
        <v>550000</v>
      </c>
      <c r="J646" s="37"/>
    </row>
    <row r="647" spans="1:10" ht="23.1" customHeight="1">
      <c r="A647" s="26"/>
      <c r="B647" s="26"/>
      <c r="C647" s="26"/>
      <c r="D647" s="27" t="s">
        <v>1280</v>
      </c>
      <c r="E647" s="142" t="s">
        <v>1279</v>
      </c>
      <c r="F647" s="142"/>
      <c r="G647" s="27" t="s">
        <v>2151</v>
      </c>
      <c r="H647" s="34">
        <f>Tabung!F33+Gas!D106</f>
        <v>1230000</v>
      </c>
      <c r="I647" s="34">
        <f>Tabung!G33+Gas!E106</f>
        <v>1230000</v>
      </c>
      <c r="J647" s="37"/>
    </row>
    <row r="648" spans="1:10" ht="23.1" customHeight="1">
      <c r="A648" s="26"/>
      <c r="B648" s="26"/>
      <c r="C648" s="26"/>
      <c r="D648" s="27" t="s">
        <v>1282</v>
      </c>
      <c r="E648" s="142" t="s">
        <v>1281</v>
      </c>
      <c r="F648" s="142"/>
      <c r="G648" s="27" t="s">
        <v>2151</v>
      </c>
      <c r="H648" s="34">
        <f>Tabung!F33</f>
        <v>1200000</v>
      </c>
      <c r="I648" s="34">
        <f>Tabung!G33</f>
        <v>1200000</v>
      </c>
      <c r="J648" s="37"/>
    </row>
    <row r="649" spans="1:10" ht="23.1" customHeight="1">
      <c r="A649" s="26"/>
      <c r="B649" s="26"/>
      <c r="C649" s="26"/>
      <c r="D649" s="27" t="s">
        <v>1288</v>
      </c>
      <c r="E649" s="142" t="s">
        <v>1287</v>
      </c>
      <c r="F649" s="142"/>
      <c r="G649" s="27" t="s">
        <v>2151</v>
      </c>
      <c r="H649" s="34">
        <f>Tabung!F35+Gas!D133</f>
        <v>1027500</v>
      </c>
      <c r="I649" s="34">
        <f>Tabung!G35+Gas!E133</f>
        <v>1058000</v>
      </c>
      <c r="J649" s="37"/>
    </row>
    <row r="650" spans="1:10" ht="23.1" customHeight="1">
      <c r="A650" s="26"/>
      <c r="B650" s="26"/>
      <c r="C650" s="26"/>
      <c r="D650" s="27" t="s">
        <v>1290</v>
      </c>
      <c r="E650" s="142" t="s">
        <v>1289</v>
      </c>
      <c r="F650" s="142"/>
      <c r="G650" s="27" t="s">
        <v>2151</v>
      </c>
      <c r="H650" s="34">
        <f>Tabung!F35+Gas!D133</f>
        <v>1027500</v>
      </c>
      <c r="I650" s="34">
        <f>Tabung!G35+Gas!E133</f>
        <v>1058000</v>
      </c>
      <c r="J650" s="37"/>
    </row>
    <row r="651" spans="1:10" ht="23.1" customHeight="1">
      <c r="A651" s="26"/>
      <c r="B651" s="26"/>
      <c r="C651" s="26"/>
      <c r="D651" s="27" t="s">
        <v>1292</v>
      </c>
      <c r="E651" s="142" t="s">
        <v>1291</v>
      </c>
      <c r="F651" s="142"/>
      <c r="G651" s="27" t="s">
        <v>2151</v>
      </c>
      <c r="H651" s="34">
        <f>Tabung!F36+Kran!F56+Gas!D106</f>
        <v>965000</v>
      </c>
      <c r="I651" s="34">
        <f>Tabung!G36+Kran!G56+Gas!E106</f>
        <v>965000</v>
      </c>
      <c r="J651" s="37"/>
    </row>
    <row r="652" spans="1:10" ht="23.1" customHeight="1">
      <c r="A652" s="26"/>
      <c r="B652" s="26"/>
      <c r="C652" s="26"/>
      <c r="D652" s="27" t="s">
        <v>1294</v>
      </c>
      <c r="E652" s="142" t="s">
        <v>1293</v>
      </c>
      <c r="F652" s="142"/>
      <c r="G652" s="27" t="s">
        <v>2151</v>
      </c>
      <c r="H652" s="34">
        <f>Tabung!F36+Kran!F56+Gas!D133</f>
        <v>962500</v>
      </c>
      <c r="I652" s="34">
        <f>Tabung!G36+Kran!G56+Gas!E133</f>
        <v>968000</v>
      </c>
      <c r="J652" s="37"/>
    </row>
    <row r="653" spans="1:10" ht="23.1" customHeight="1">
      <c r="A653" s="26"/>
      <c r="B653" s="26"/>
      <c r="C653" s="26"/>
      <c r="D653" s="27" t="s">
        <v>1296</v>
      </c>
      <c r="E653" s="142" t="s">
        <v>1295</v>
      </c>
      <c r="F653" s="142"/>
      <c r="G653" s="27" t="s">
        <v>2151</v>
      </c>
      <c r="H653" s="34">
        <f>Tabung!F36+Kran!F55+Gas!D123</f>
        <v>3185000</v>
      </c>
      <c r="I653" s="34">
        <f>Tabung!G36+Kran!G55+Gas!E123</f>
        <v>3185000</v>
      </c>
      <c r="J653" s="37"/>
    </row>
    <row r="654" spans="1:10" ht="23.1" customHeight="1">
      <c r="A654" s="26"/>
      <c r="B654" s="26"/>
      <c r="C654" s="26"/>
      <c r="D654" s="27" t="s">
        <v>1300</v>
      </c>
      <c r="E654" s="142" t="s">
        <v>1299</v>
      </c>
      <c r="F654" s="142"/>
      <c r="G654" s="27" t="s">
        <v>2151</v>
      </c>
      <c r="H654" s="34">
        <f>Tabung!F36+Gas!D109</f>
        <v>1050000</v>
      </c>
      <c r="I654" s="34">
        <f>Tabung!G36+Gas!E109</f>
        <v>1050000</v>
      </c>
      <c r="J654" s="37"/>
    </row>
    <row r="655" spans="1:10" ht="23.1" customHeight="1">
      <c r="A655" s="26"/>
      <c r="B655" s="26"/>
      <c r="C655" s="26"/>
      <c r="D655" s="27" t="s">
        <v>1302</v>
      </c>
      <c r="E655" s="142" t="s">
        <v>1301</v>
      </c>
      <c r="F655" s="142"/>
      <c r="G655" s="27" t="s">
        <v>2151</v>
      </c>
      <c r="H655" s="34">
        <f>Tabung!F36+Gas!D111</f>
        <v>935000</v>
      </c>
      <c r="I655" s="34">
        <f>Tabung!G36+Gas!E111</f>
        <v>940000</v>
      </c>
      <c r="J655" s="37"/>
    </row>
    <row r="656" spans="1:10" ht="23.1" customHeight="1">
      <c r="A656" s="26"/>
      <c r="B656" s="26"/>
      <c r="C656" s="26"/>
      <c r="D656" s="27" t="s">
        <v>1304</v>
      </c>
      <c r="E656" s="142" t="s">
        <v>1303</v>
      </c>
      <c r="F656" s="142"/>
      <c r="G656" s="27" t="s">
        <v>2151</v>
      </c>
      <c r="H656" s="34">
        <f>Tabung!F36+Gas!D133</f>
        <v>927500</v>
      </c>
      <c r="I656" s="34">
        <f>Tabung!G36+Gas!E133</f>
        <v>933000</v>
      </c>
      <c r="J656" s="37"/>
    </row>
    <row r="657" spans="1:10" ht="23.1" customHeight="1">
      <c r="A657" s="26"/>
      <c r="B657" s="26"/>
      <c r="C657" s="26"/>
      <c r="D657" s="27" t="s">
        <v>1306</v>
      </c>
      <c r="E657" s="142" t="s">
        <v>1305</v>
      </c>
      <c r="F657" s="142"/>
      <c r="G657" s="27" t="s">
        <v>2151</v>
      </c>
      <c r="H657" s="34">
        <f>Tabung!F36+Gas!D134</f>
        <v>1025000</v>
      </c>
      <c r="I657" s="34">
        <f>Tabung!G36+Gas!E134</f>
        <v>1025000</v>
      </c>
      <c r="J657" s="37"/>
    </row>
    <row r="658" spans="1:10" ht="23.1" customHeight="1">
      <c r="A658" s="26"/>
      <c r="B658" s="26"/>
      <c r="C658" s="26"/>
      <c r="D658" s="27" t="s">
        <v>1308</v>
      </c>
      <c r="E658" s="142" t="s">
        <v>1307</v>
      </c>
      <c r="F658" s="142"/>
      <c r="G658" s="27" t="s">
        <v>2151</v>
      </c>
      <c r="H658" s="34">
        <f>Tabung!F37+Gas!D109</f>
        <v>1050000</v>
      </c>
      <c r="I658" s="34">
        <f>Tabung!G37+Gas!E109</f>
        <v>1050000</v>
      </c>
      <c r="J658" s="37"/>
    </row>
    <row r="659" spans="1:10" ht="23.1" customHeight="1">
      <c r="A659" s="26"/>
      <c r="B659" s="26"/>
      <c r="C659" s="26"/>
      <c r="D659" s="27" t="s">
        <v>1310</v>
      </c>
      <c r="E659" s="142" t="s">
        <v>1309</v>
      </c>
      <c r="F659" s="142"/>
      <c r="G659" s="27" t="s">
        <v>2151</v>
      </c>
      <c r="H659" s="34">
        <f>Tabung!F37+Gas!D111</f>
        <v>935000</v>
      </c>
      <c r="I659" s="34">
        <f>Tabung!G37+Gas!E111</f>
        <v>940000</v>
      </c>
      <c r="J659" s="37"/>
    </row>
    <row r="660" spans="1:10" ht="23.1" customHeight="1">
      <c r="A660" s="26"/>
      <c r="B660" s="26"/>
      <c r="C660" s="26"/>
      <c r="D660" s="27" t="s">
        <v>1312</v>
      </c>
      <c r="E660" s="142" t="s">
        <v>1311</v>
      </c>
      <c r="F660" s="142"/>
      <c r="G660" s="27" t="s">
        <v>2151</v>
      </c>
      <c r="H660" s="34">
        <f>Tabung!F37+Gas!D133</f>
        <v>927500</v>
      </c>
      <c r="I660" s="34">
        <f>Tabung!G37+Gas!E133</f>
        <v>933000</v>
      </c>
      <c r="J660" s="37"/>
    </row>
    <row r="661" spans="1:10" ht="23.1" customHeight="1">
      <c r="A661" s="26"/>
      <c r="B661" s="26"/>
      <c r="C661" s="26"/>
      <c r="D661" s="27" t="s">
        <v>1316</v>
      </c>
      <c r="E661" s="142" t="s">
        <v>1315</v>
      </c>
      <c r="F661" s="142"/>
      <c r="G661" s="27" t="s">
        <v>2151</v>
      </c>
      <c r="H661" s="34">
        <f>Tabung!F36+Gas!D111</f>
        <v>935000</v>
      </c>
      <c r="I661" s="34">
        <f>Tabung!G36+Gas!E111</f>
        <v>940000</v>
      </c>
      <c r="J661" s="37"/>
    </row>
    <row r="662" spans="1:10" ht="23.1" customHeight="1">
      <c r="A662" s="26"/>
      <c r="B662" s="26"/>
      <c r="C662" s="26"/>
      <c r="D662" s="27" t="s">
        <v>1318</v>
      </c>
      <c r="E662" s="142" t="s">
        <v>1317</v>
      </c>
      <c r="F662" s="142"/>
      <c r="G662" s="27" t="s">
        <v>2151</v>
      </c>
      <c r="H662" s="34">
        <f>Tabung!F36+Gas!D133</f>
        <v>927500</v>
      </c>
      <c r="I662" s="34">
        <f>Tabung!G36+Gas!E133</f>
        <v>933000</v>
      </c>
      <c r="J662" s="37"/>
    </row>
    <row r="663" spans="1:10" ht="23.1" customHeight="1">
      <c r="A663" s="26"/>
      <c r="B663" s="26"/>
      <c r="C663" s="26"/>
      <c r="D663" s="27" t="s">
        <v>1320</v>
      </c>
      <c r="E663" s="142" t="s">
        <v>1319</v>
      </c>
      <c r="F663" s="142"/>
      <c r="G663" s="27" t="s">
        <v>2151</v>
      </c>
      <c r="H663" s="34">
        <f>Tabung!F37+Gas!D111</f>
        <v>935000</v>
      </c>
      <c r="I663" s="34">
        <f>Tabung!G37+Gas!E111</f>
        <v>940000</v>
      </c>
      <c r="J663" s="37"/>
    </row>
    <row r="664" spans="1:10" ht="23.1" customHeight="1">
      <c r="A664" s="26"/>
      <c r="B664" s="26"/>
      <c r="C664" s="26"/>
      <c r="D664" s="27" t="s">
        <v>1322</v>
      </c>
      <c r="E664" s="142" t="s">
        <v>1321</v>
      </c>
      <c r="F664" s="142"/>
      <c r="G664" s="27" t="s">
        <v>2151</v>
      </c>
      <c r="H664" s="34">
        <f>Tabung!F37+Gas!D133</f>
        <v>927500</v>
      </c>
      <c r="I664" s="34">
        <f>Tabung!G37+Gas!E133</f>
        <v>933000</v>
      </c>
      <c r="J664" s="37"/>
    </row>
    <row r="665" spans="1:10" ht="23.1" customHeight="1">
      <c r="A665" s="26"/>
      <c r="B665" s="26"/>
      <c r="C665" s="26"/>
      <c r="D665" s="27" t="s">
        <v>1324</v>
      </c>
      <c r="E665" s="142" t="s">
        <v>1323</v>
      </c>
      <c r="F665" s="142"/>
      <c r="G665" s="27" t="s">
        <v>2151</v>
      </c>
      <c r="H665" s="34">
        <f>Tabung!F36+Gas!D110</f>
        <v>1275000</v>
      </c>
      <c r="I665" s="34">
        <f>Tabung!G36+Gas!E110</f>
        <v>1275000</v>
      </c>
      <c r="J665" s="37"/>
    </row>
    <row r="666" spans="1:10" ht="22.5" customHeight="1">
      <c r="A666" s="26"/>
      <c r="B666" s="26"/>
      <c r="C666" s="26"/>
      <c r="D666" s="27" t="s">
        <v>1326</v>
      </c>
      <c r="E666" s="142" t="s">
        <v>1325</v>
      </c>
      <c r="F666" s="142"/>
      <c r="G666" s="27" t="s">
        <v>2151</v>
      </c>
      <c r="H666" s="34">
        <f>Tabung!F36+Gas!D133</f>
        <v>927500</v>
      </c>
      <c r="I666" s="34">
        <f>Tabung!G36+Gas!E133</f>
        <v>933000</v>
      </c>
      <c r="J666" s="37"/>
    </row>
    <row r="667" spans="1:10" ht="23.1" customHeight="1">
      <c r="A667" s="26"/>
      <c r="B667" s="26"/>
      <c r="C667" s="26"/>
      <c r="D667" s="27" t="s">
        <v>1328</v>
      </c>
      <c r="E667" s="142" t="s">
        <v>1327</v>
      </c>
      <c r="F667" s="142"/>
      <c r="G667" s="27" t="s">
        <v>2151</v>
      </c>
      <c r="H667" s="34">
        <f>Tabung!F36+Gas!D133</f>
        <v>927500</v>
      </c>
      <c r="I667" s="34">
        <f>Tabung!G36+Gas!E133</f>
        <v>933000</v>
      </c>
      <c r="J667" s="37"/>
    </row>
    <row r="668" spans="1:10" ht="23.1" customHeight="1">
      <c r="A668" s="26"/>
      <c r="B668" s="26"/>
      <c r="C668" s="26"/>
      <c r="D668" s="27" t="s">
        <v>1330</v>
      </c>
      <c r="E668" s="142" t="s">
        <v>1329</v>
      </c>
      <c r="F668" s="142"/>
      <c r="G668" s="27" t="s">
        <v>2151</v>
      </c>
      <c r="H668" s="34">
        <f>Tabung!F41+Gas!D112</f>
        <v>1290000</v>
      </c>
      <c r="I668" s="34">
        <f>Tabung!G41+Gas!E112</f>
        <v>1290000</v>
      </c>
      <c r="J668" s="37"/>
    </row>
    <row r="669" spans="1:10" ht="23.1" customHeight="1">
      <c r="A669" s="26"/>
      <c r="B669" s="26"/>
      <c r="C669" s="26"/>
      <c r="D669" s="27" t="s">
        <v>1332</v>
      </c>
      <c r="E669" s="142" t="s">
        <v>1331</v>
      </c>
      <c r="F669" s="142"/>
      <c r="G669" s="27" t="s">
        <v>2151</v>
      </c>
      <c r="H669" s="34">
        <f>Tabung!F41+Gas!D137</f>
        <v>1282500</v>
      </c>
      <c r="I669" s="34">
        <f>Tabung!G41+Gas!E137</f>
        <v>1283000</v>
      </c>
      <c r="J669" s="37"/>
    </row>
    <row r="670" spans="1:10" ht="23.1" customHeight="1">
      <c r="A670" s="26"/>
      <c r="B670" s="26"/>
      <c r="C670" s="26"/>
      <c r="D670" s="27" t="s">
        <v>1408</v>
      </c>
      <c r="E670" s="142" t="s">
        <v>2175</v>
      </c>
      <c r="F670" s="142"/>
      <c r="G670" s="27" t="s">
        <v>2151</v>
      </c>
      <c r="H670" s="34">
        <f>Tabung!F36+Kran!F55+Gas!D125</f>
        <v>4685000</v>
      </c>
      <c r="I670" s="34">
        <f>Tabung!G36+Kran!G55+Gas!E125</f>
        <v>4685000</v>
      </c>
      <c r="J670" s="37"/>
    </row>
    <row r="671" spans="1:10" ht="23.1" customHeight="1">
      <c r="A671" s="26"/>
      <c r="B671" s="26"/>
      <c r="C671" s="26"/>
      <c r="D671" s="27" t="s">
        <v>1334</v>
      </c>
      <c r="E671" s="142" t="s">
        <v>1333</v>
      </c>
      <c r="F671" s="142"/>
      <c r="G671" s="27" t="s">
        <v>2151</v>
      </c>
      <c r="H671" s="34">
        <f>Tabung!F16</f>
        <v>295000</v>
      </c>
      <c r="I671" s="34">
        <f>Tabung!G16</f>
        <v>295000</v>
      </c>
      <c r="J671" s="37"/>
    </row>
    <row r="672" spans="1:10" ht="23.1" customHeight="1">
      <c r="A672" s="26"/>
      <c r="B672" s="26"/>
      <c r="C672" s="26"/>
      <c r="D672" s="27" t="s">
        <v>1338</v>
      </c>
      <c r="E672" s="142" t="s">
        <v>1337</v>
      </c>
      <c r="F672" s="142"/>
      <c r="G672" s="27" t="s">
        <v>2151</v>
      </c>
      <c r="H672" s="34">
        <f>Tabung!F36+Gas!D136</f>
        <v>8670000</v>
      </c>
      <c r="I672" s="34">
        <f>Tabung!G36+Gas!E136</f>
        <v>900000</v>
      </c>
      <c r="J672" s="37"/>
    </row>
    <row r="673" spans="1:10" ht="23.1" customHeight="1">
      <c r="A673" s="26"/>
      <c r="B673" s="26"/>
      <c r="C673" s="26"/>
      <c r="D673" s="27" t="s">
        <v>1342</v>
      </c>
      <c r="E673" s="142" t="s">
        <v>1341</v>
      </c>
      <c r="F673" s="142"/>
      <c r="G673" s="27" t="s">
        <v>2151</v>
      </c>
      <c r="H673" s="34">
        <f>Tabung!F19</f>
        <v>295000</v>
      </c>
      <c r="I673" s="34">
        <f>Tabung!G19</f>
        <v>295000</v>
      </c>
      <c r="J673" s="37"/>
    </row>
    <row r="674" spans="1:10" ht="23.1" customHeight="1">
      <c r="A674" s="26"/>
      <c r="B674" s="26"/>
      <c r="C674" s="26"/>
      <c r="D674" s="27" t="s">
        <v>1344</v>
      </c>
      <c r="E674" s="142" t="s">
        <v>1343</v>
      </c>
      <c r="F674" s="142"/>
      <c r="G674" s="27" t="s">
        <v>2151</v>
      </c>
      <c r="H674" s="34">
        <f>Tabung!F18</f>
        <v>295000</v>
      </c>
      <c r="I674" s="34">
        <f>Tabung!G18</f>
        <v>295000</v>
      </c>
      <c r="J674" s="37"/>
    </row>
    <row r="675" spans="1:10" ht="23.1" customHeight="1">
      <c r="A675" s="26"/>
      <c r="B675" s="26"/>
      <c r="C675" s="26"/>
      <c r="D675" s="27" t="s">
        <v>1346</v>
      </c>
      <c r="E675" s="142" t="s">
        <v>1345</v>
      </c>
      <c r="F675" s="142"/>
      <c r="G675" s="27" t="s">
        <v>2151</v>
      </c>
      <c r="H675" s="34">
        <f>Tabung!F21+Gas!D106</f>
        <v>325000</v>
      </c>
      <c r="I675" s="34">
        <f>Tabung!G21+Gas!E106</f>
        <v>325000</v>
      </c>
      <c r="J675" s="37"/>
    </row>
    <row r="676" spans="1:10" ht="23.1" customHeight="1">
      <c r="A676" s="26"/>
      <c r="B676" s="26"/>
      <c r="C676" s="26"/>
      <c r="D676" s="27" t="s">
        <v>1348</v>
      </c>
      <c r="E676" s="142" t="s">
        <v>1347</v>
      </c>
      <c r="F676" s="142"/>
      <c r="G676" s="27" t="s">
        <v>2151</v>
      </c>
      <c r="H676" s="34">
        <f>Tabung!F21</f>
        <v>295000</v>
      </c>
      <c r="I676" s="34">
        <f>Tabung!G21</f>
        <v>295000</v>
      </c>
      <c r="J676" s="37"/>
    </row>
    <row r="677" spans="1:10" ht="23.1" customHeight="1">
      <c r="A677" s="26"/>
      <c r="B677" s="26"/>
      <c r="C677" s="26"/>
      <c r="D677" s="27" t="s">
        <v>1350</v>
      </c>
      <c r="E677" s="142" t="s">
        <v>1349</v>
      </c>
      <c r="F677" s="142"/>
      <c r="G677" s="27" t="s">
        <v>2151</v>
      </c>
      <c r="H677" s="34">
        <f>Tabung!F22+Gas!D106</f>
        <v>325000</v>
      </c>
      <c r="I677" s="34">
        <f>Tabung!G22+Gas!E106</f>
        <v>325000</v>
      </c>
      <c r="J677" s="37"/>
    </row>
    <row r="678" spans="1:10" ht="23.1" customHeight="1">
      <c r="A678" s="26"/>
      <c r="B678" s="26"/>
      <c r="C678" s="26"/>
      <c r="D678" s="27" t="s">
        <v>1352</v>
      </c>
      <c r="E678" s="142" t="s">
        <v>1351</v>
      </c>
      <c r="F678" s="142"/>
      <c r="G678" s="27" t="s">
        <v>2151</v>
      </c>
      <c r="H678" s="34">
        <f>Tabung!F22</f>
        <v>295000</v>
      </c>
      <c r="I678" s="34">
        <f>Tabung!G22</f>
        <v>295000</v>
      </c>
      <c r="J678" s="37"/>
    </row>
    <row r="679" spans="1:10" ht="23.1" customHeight="1">
      <c r="A679" s="26"/>
      <c r="B679" s="26"/>
      <c r="C679" s="26"/>
      <c r="D679" s="27" t="s">
        <v>1356</v>
      </c>
      <c r="E679" s="142" t="s">
        <v>1355</v>
      </c>
      <c r="F679" s="142"/>
      <c r="G679" s="27" t="s">
        <v>2151</v>
      </c>
      <c r="H679" s="34">
        <f>Tabung!F26+Gas!D106</f>
        <v>530000</v>
      </c>
      <c r="I679" s="34">
        <f>Tabung!G26+Gas!E106</f>
        <v>530000</v>
      </c>
      <c r="J679" s="37"/>
    </row>
    <row r="680" spans="1:10" ht="23.1" customHeight="1">
      <c r="A680" s="26"/>
      <c r="B680" s="26"/>
      <c r="C680" s="26"/>
      <c r="D680" s="27" t="s">
        <v>1360</v>
      </c>
      <c r="E680" s="142" t="s">
        <v>1359</v>
      </c>
      <c r="F680" s="142"/>
      <c r="G680" s="27" t="s">
        <v>2151</v>
      </c>
      <c r="H680" s="34">
        <f>Tabung!F35+Gas!D111</f>
        <v>1035000</v>
      </c>
      <c r="I680" s="34">
        <f>Tabung!G35+Gas!E111</f>
        <v>1065000</v>
      </c>
      <c r="J680" s="37"/>
    </row>
    <row r="681" spans="1:10" ht="23.1" customHeight="1">
      <c r="A681" s="26"/>
      <c r="B681" s="26"/>
      <c r="C681" s="26"/>
      <c r="D681" s="27" t="s">
        <v>1362</v>
      </c>
      <c r="E681" s="142" t="s">
        <v>1361</v>
      </c>
      <c r="F681" s="142"/>
      <c r="G681" s="27" t="s">
        <v>2151</v>
      </c>
      <c r="H681" s="34">
        <f>Tabung!F26+Gas!D130</f>
        <v>522500</v>
      </c>
      <c r="I681" s="34">
        <f>Tabung!G26+Gas!E130</f>
        <v>522500</v>
      </c>
      <c r="J681" s="37"/>
    </row>
    <row r="682" spans="1:10" ht="23.1" customHeight="1">
      <c r="A682" s="26"/>
      <c r="B682" s="26"/>
      <c r="C682" s="26"/>
      <c r="D682" s="27" t="s">
        <v>1364</v>
      </c>
      <c r="E682" s="142" t="s">
        <v>1363</v>
      </c>
      <c r="F682" s="142"/>
      <c r="G682" s="27" t="s">
        <v>2151</v>
      </c>
      <c r="H682" s="34">
        <f>Tabung!F26+Gas!D106</f>
        <v>530000</v>
      </c>
      <c r="I682" s="34">
        <f>Tabung!G26+Gas!E106</f>
        <v>530000</v>
      </c>
      <c r="J682" s="37"/>
    </row>
    <row r="683" spans="1:10" ht="23.1" customHeight="1">
      <c r="A683" s="26"/>
      <c r="B683" s="26"/>
      <c r="C683" s="26"/>
      <c r="D683" s="27" t="s">
        <v>1366</v>
      </c>
      <c r="E683" s="142" t="s">
        <v>1365</v>
      </c>
      <c r="F683" s="142"/>
      <c r="G683" s="27" t="s">
        <v>2151</v>
      </c>
      <c r="H683" s="34">
        <f>Tabung!F24</f>
        <v>500000</v>
      </c>
      <c r="I683" s="34">
        <f>Tabung!G24</f>
        <v>500000</v>
      </c>
      <c r="J683" s="37"/>
    </row>
    <row r="684" spans="1:10" ht="23.1" customHeight="1">
      <c r="A684" s="26"/>
      <c r="B684" s="26"/>
      <c r="C684" s="26"/>
      <c r="D684" s="27" t="s">
        <v>1368</v>
      </c>
      <c r="E684" s="142" t="s">
        <v>1367</v>
      </c>
      <c r="F684" s="142"/>
      <c r="G684" s="27" t="s">
        <v>2151</v>
      </c>
      <c r="H684" s="34" t="e">
        <f>Tabung!F27+Kran!F41+Gas!#REF!</f>
        <v>#REF!</v>
      </c>
      <c r="I684" s="34" t="e">
        <f>Tabung!G27+Kran!G41+Gas!#REF!</f>
        <v>#REF!</v>
      </c>
      <c r="J684" s="37"/>
    </row>
    <row r="685" spans="1:10" ht="23.1" customHeight="1">
      <c r="A685" s="26"/>
      <c r="B685" s="26"/>
      <c r="C685" s="26"/>
      <c r="D685" s="27" t="s">
        <v>1370</v>
      </c>
      <c r="E685" s="142" t="s">
        <v>1369</v>
      </c>
      <c r="F685" s="142"/>
      <c r="G685" s="27" t="s">
        <v>2151</v>
      </c>
      <c r="H685" s="34">
        <f>Tabung!F29+Gas!D113</f>
        <v>2800000</v>
      </c>
      <c r="I685" s="34">
        <f>Tabung!G29+Gas!E113</f>
        <v>2925000</v>
      </c>
      <c r="J685" s="37"/>
    </row>
    <row r="686" spans="1:10" ht="23.1" customHeight="1">
      <c r="A686" s="26"/>
      <c r="B686" s="26"/>
      <c r="C686" s="26"/>
      <c r="D686" s="27" t="s">
        <v>1372</v>
      </c>
      <c r="E686" s="142" t="s">
        <v>1371</v>
      </c>
      <c r="F686" s="142"/>
      <c r="G686" s="27" t="s">
        <v>2151</v>
      </c>
      <c r="H686" s="34">
        <f>Tabung!F29+Gas!D138</f>
        <v>2250000</v>
      </c>
      <c r="I686" s="34">
        <f>Tabung!G29+Gas!E138</f>
        <v>2250000</v>
      </c>
      <c r="J686" s="37"/>
    </row>
    <row r="687" spans="1:10" ht="23.1" customHeight="1">
      <c r="A687" s="26"/>
      <c r="B687" s="26"/>
      <c r="C687" s="26"/>
      <c r="D687" s="27" t="s">
        <v>1374</v>
      </c>
      <c r="E687" s="142" t="s">
        <v>1373</v>
      </c>
      <c r="F687" s="142"/>
      <c r="G687" s="27" t="s">
        <v>2151</v>
      </c>
      <c r="H687" s="34" t="e">
        <f>Tabung!F28+Kran!F41+Gas!#REF!</f>
        <v>#REF!</v>
      </c>
      <c r="I687" s="34" t="e">
        <f>Tabung!G28+Kran!G41+Gas!#REF!</f>
        <v>#REF!</v>
      </c>
      <c r="J687" s="37"/>
    </row>
    <row r="688" spans="1:10" ht="23.25" customHeight="1">
      <c r="A688" s="26"/>
      <c r="B688" s="26"/>
      <c r="C688" s="26"/>
      <c r="D688" s="27" t="s">
        <v>1376</v>
      </c>
      <c r="E688" s="142" t="s">
        <v>1375</v>
      </c>
      <c r="F688" s="142"/>
      <c r="G688" s="27" t="s">
        <v>2151</v>
      </c>
      <c r="H688" s="34" t="e">
        <f>Tabung!F28+Kran!F39+Gas!#REF!</f>
        <v>#REF!</v>
      </c>
      <c r="I688" s="34" t="e">
        <f>Tabung!G28+Kran!G39+Gas!#REF!</f>
        <v>#REF!</v>
      </c>
      <c r="J688" s="37"/>
    </row>
    <row r="689" spans="1:10" ht="23.1" customHeight="1">
      <c r="A689" s="26"/>
      <c r="B689" s="26"/>
      <c r="C689" s="26"/>
      <c r="D689" s="27" t="s">
        <v>1378</v>
      </c>
      <c r="E689" s="142" t="s">
        <v>1377</v>
      </c>
      <c r="F689" s="142"/>
      <c r="G689" s="27" t="s">
        <v>2151</v>
      </c>
      <c r="H689" s="34"/>
      <c r="I689" s="34"/>
      <c r="J689" s="37"/>
    </row>
    <row r="690" spans="1:10" ht="23.1" customHeight="1">
      <c r="A690" s="26"/>
      <c r="B690" s="26"/>
      <c r="C690" s="26"/>
      <c r="D690" s="27" t="s">
        <v>1386</v>
      </c>
      <c r="E690" s="142" t="s">
        <v>1385</v>
      </c>
      <c r="F690" s="142"/>
      <c r="G690" s="27" t="s">
        <v>2151</v>
      </c>
      <c r="H690" s="34">
        <f>Tabung!F31+Gas!D106</f>
        <v>580000</v>
      </c>
      <c r="I690" s="34">
        <f>Tabung!G31+Gas!E106</f>
        <v>580000</v>
      </c>
      <c r="J690" s="37"/>
    </row>
    <row r="691" spans="1:10" ht="23.1" customHeight="1">
      <c r="A691" s="26"/>
      <c r="B691" s="26"/>
      <c r="C691" s="26"/>
      <c r="D691" s="27" t="s">
        <v>1388</v>
      </c>
      <c r="E691" s="142" t="s">
        <v>1387</v>
      </c>
      <c r="F691" s="142"/>
      <c r="G691" s="27" t="s">
        <v>2151</v>
      </c>
      <c r="H691" s="34">
        <f>Tabung!F31</f>
        <v>550000</v>
      </c>
      <c r="I691" s="34">
        <f>Tabung!G31</f>
        <v>550000</v>
      </c>
      <c r="J691" s="37"/>
    </row>
    <row r="692" spans="1:10" ht="23.1" customHeight="1">
      <c r="A692" s="26"/>
      <c r="B692" s="26"/>
      <c r="C692" s="26"/>
      <c r="D692" s="27" t="s">
        <v>1390</v>
      </c>
      <c r="E692" s="142" t="s">
        <v>1389</v>
      </c>
      <c r="F692" s="142"/>
      <c r="G692" s="27" t="s">
        <v>2151</v>
      </c>
      <c r="H692" s="34">
        <f>Tabung!F33+Gas!D106</f>
        <v>1230000</v>
      </c>
      <c r="I692" s="34">
        <f>Tabung!G33+Gas!E106</f>
        <v>1230000</v>
      </c>
      <c r="J692" s="37"/>
    </row>
    <row r="693" spans="1:10" ht="23.1" customHeight="1">
      <c r="A693" s="26"/>
      <c r="B693" s="26"/>
      <c r="C693" s="26"/>
      <c r="D693" s="27" t="s">
        <v>1392</v>
      </c>
      <c r="E693" s="142" t="s">
        <v>1391</v>
      </c>
      <c r="F693" s="142"/>
      <c r="G693" s="27" t="s">
        <v>2151</v>
      </c>
      <c r="H693" s="34">
        <f>Tabung!F33</f>
        <v>1200000</v>
      </c>
      <c r="I693" s="34">
        <f>Tabung!G33</f>
        <v>1200000</v>
      </c>
      <c r="J693" s="37"/>
    </row>
    <row r="694" spans="1:10" ht="23.1" customHeight="1">
      <c r="A694" s="26"/>
      <c r="B694" s="26"/>
      <c r="C694" s="26"/>
      <c r="D694" s="27" t="s">
        <v>1396</v>
      </c>
      <c r="E694" s="142" t="s">
        <v>1395</v>
      </c>
      <c r="F694" s="142"/>
      <c r="G694" s="27" t="s">
        <v>2151</v>
      </c>
      <c r="H694" s="34">
        <f>Tabung!F36+Gas!D136</f>
        <v>8670000</v>
      </c>
      <c r="I694" s="34">
        <f>Tabung!G36+Gas!E136</f>
        <v>900000</v>
      </c>
      <c r="J694" s="37"/>
    </row>
    <row r="695" spans="1:10" ht="23.1" customHeight="1">
      <c r="A695" s="26"/>
      <c r="B695" s="26"/>
      <c r="C695" s="26"/>
      <c r="D695" s="27" t="s">
        <v>1398</v>
      </c>
      <c r="E695" s="142" t="s">
        <v>1397</v>
      </c>
      <c r="F695" s="142"/>
      <c r="G695" s="27" t="s">
        <v>2151</v>
      </c>
      <c r="H695" s="34">
        <f>Tabung!F35+Gas!D133</f>
        <v>1027500</v>
      </c>
      <c r="I695" s="34">
        <f>Tabung!G35+Gas!E133</f>
        <v>1058000</v>
      </c>
      <c r="J695" s="37"/>
    </row>
    <row r="696" spans="1:10" ht="23.1" customHeight="1">
      <c r="A696" s="26"/>
      <c r="B696" s="26"/>
      <c r="C696" s="26"/>
      <c r="D696" s="27" t="s">
        <v>1400</v>
      </c>
      <c r="E696" s="142" t="s">
        <v>1399</v>
      </c>
      <c r="F696" s="142"/>
      <c r="G696" s="27" t="s">
        <v>2151</v>
      </c>
      <c r="H696" s="34">
        <f>Tabung!F35+Gas!D133</f>
        <v>1027500</v>
      </c>
      <c r="I696" s="34">
        <f>Tabung!G35+Gas!E133</f>
        <v>1058000</v>
      </c>
      <c r="J696" s="37"/>
    </row>
    <row r="697" spans="1:10" ht="23.1" customHeight="1">
      <c r="A697" s="26"/>
      <c r="B697" s="26"/>
      <c r="C697" s="26"/>
      <c r="D697" s="27" t="s">
        <v>1402</v>
      </c>
      <c r="E697" s="142" t="s">
        <v>1401</v>
      </c>
      <c r="F697" s="142"/>
      <c r="G697" s="27" t="s">
        <v>2151</v>
      </c>
      <c r="H697" s="34">
        <f>Tabung!F36+Kran!F56+Gas!D111</f>
        <v>970000</v>
      </c>
      <c r="I697" s="34">
        <f>Tabung!G36+Kran!G56+Gas!E111</f>
        <v>975000</v>
      </c>
      <c r="J697" s="37"/>
    </row>
    <row r="698" spans="1:10" ht="23.1" customHeight="1">
      <c r="A698" s="26"/>
      <c r="B698" s="26"/>
      <c r="C698" s="26"/>
      <c r="D698" s="27" t="s">
        <v>1404</v>
      </c>
      <c r="E698" s="142" t="s">
        <v>1403</v>
      </c>
      <c r="F698" s="142"/>
      <c r="G698" s="27" t="s">
        <v>2151</v>
      </c>
      <c r="H698" s="34">
        <f>Tabung!F36+Kran!F56+Gas!D133</f>
        <v>962500</v>
      </c>
      <c r="I698" s="34">
        <f>Tabung!G36+Kran!G56+Gas!E133</f>
        <v>968000</v>
      </c>
      <c r="J698" s="37"/>
    </row>
    <row r="699" spans="1:10" ht="23.1" customHeight="1">
      <c r="A699" s="26"/>
      <c r="B699" s="26"/>
      <c r="C699" s="26"/>
      <c r="D699" s="27" t="s">
        <v>1406</v>
      </c>
      <c r="E699" s="142" t="s">
        <v>1405</v>
      </c>
      <c r="F699" s="142"/>
      <c r="G699" s="27" t="s">
        <v>2151</v>
      </c>
      <c r="H699" s="34">
        <f>Tabung!F36+Kran!F55+Gas!D123</f>
        <v>3185000</v>
      </c>
      <c r="I699" s="34">
        <f>Tabung!G36+Kran!G55+Gas!E123</f>
        <v>3185000</v>
      </c>
      <c r="J699" s="37"/>
    </row>
    <row r="700" spans="1:10" ht="23.1" customHeight="1">
      <c r="A700" s="26"/>
      <c r="B700" s="26"/>
      <c r="C700" s="26"/>
      <c r="D700" s="27" t="s">
        <v>1410</v>
      </c>
      <c r="E700" s="142" t="s">
        <v>1409</v>
      </c>
      <c r="F700" s="142"/>
      <c r="G700" s="27" t="s">
        <v>2151</v>
      </c>
      <c r="H700" s="34">
        <f>Tabung!F36+Gas!D109</f>
        <v>1050000</v>
      </c>
      <c r="I700" s="34">
        <f>Tabung!G36+Gas!E109</f>
        <v>1050000</v>
      </c>
      <c r="J700" s="37"/>
    </row>
    <row r="701" spans="1:10" ht="23.1" customHeight="1">
      <c r="A701" s="26"/>
      <c r="B701" s="26"/>
      <c r="C701" s="26"/>
      <c r="D701" s="27" t="s">
        <v>1412</v>
      </c>
      <c r="E701" s="142" t="s">
        <v>1411</v>
      </c>
      <c r="F701" s="142"/>
      <c r="G701" s="27" t="s">
        <v>2151</v>
      </c>
      <c r="H701" s="34" t="e">
        <f>Tabung!F36+Gas!#REF!</f>
        <v>#REF!</v>
      </c>
      <c r="I701" s="34" t="e">
        <f>Tabung!G36+Gas!#REF!</f>
        <v>#REF!</v>
      </c>
      <c r="J701" s="37"/>
    </row>
    <row r="702" spans="1:10" ht="23.1" customHeight="1">
      <c r="A702" s="26"/>
      <c r="B702" s="26"/>
      <c r="C702" s="26"/>
      <c r="D702" s="27" t="s">
        <v>1414</v>
      </c>
      <c r="E702" s="142" t="s">
        <v>1413</v>
      </c>
      <c r="F702" s="142"/>
      <c r="G702" s="27" t="s">
        <v>2151</v>
      </c>
      <c r="H702" s="34" t="e">
        <f>Tabung!F36+Gas!#REF!</f>
        <v>#REF!</v>
      </c>
      <c r="I702" s="34" t="e">
        <f>Tabung!G36+Gas!#REF!</f>
        <v>#REF!</v>
      </c>
      <c r="J702" s="37"/>
    </row>
    <row r="703" spans="1:10" ht="23.1" customHeight="1">
      <c r="A703" s="26"/>
      <c r="B703" s="26"/>
      <c r="C703" s="26"/>
      <c r="D703" s="27" t="s">
        <v>1416</v>
      </c>
      <c r="E703" s="142" t="s">
        <v>1415</v>
      </c>
      <c r="F703" s="142"/>
      <c r="G703" s="27" t="s">
        <v>2151</v>
      </c>
      <c r="H703" s="34">
        <f>Tabung!F37+Gas!D134</f>
        <v>1025000</v>
      </c>
      <c r="I703" s="34">
        <f>Tabung!G37+Gas!E134</f>
        <v>1025000</v>
      </c>
      <c r="J703" s="37"/>
    </row>
    <row r="704" spans="1:10" ht="23.1" customHeight="1">
      <c r="A704" s="26"/>
      <c r="B704" s="26"/>
      <c r="C704" s="26"/>
      <c r="D704" s="27" t="s">
        <v>1418</v>
      </c>
      <c r="E704" s="142" t="s">
        <v>1417</v>
      </c>
      <c r="F704" s="142"/>
      <c r="G704" s="27" t="s">
        <v>2151</v>
      </c>
      <c r="H704" s="34">
        <f>Tabung!F37+Gas!D109</f>
        <v>1050000</v>
      </c>
      <c r="I704" s="34">
        <f>Tabung!G37+Gas!E109</f>
        <v>1050000</v>
      </c>
      <c r="J704" s="37"/>
    </row>
    <row r="705" spans="1:10" ht="23.1" customHeight="1">
      <c r="A705" s="26"/>
      <c r="B705" s="26"/>
      <c r="C705" s="26"/>
      <c r="D705" s="27" t="s">
        <v>1420</v>
      </c>
      <c r="E705" s="142" t="s">
        <v>1419</v>
      </c>
      <c r="F705" s="142"/>
      <c r="G705" s="27" t="s">
        <v>2151</v>
      </c>
      <c r="H705" s="34">
        <f>Tabung!F37+Gas!D111</f>
        <v>935000</v>
      </c>
      <c r="I705" s="34">
        <f>Tabung!G37+Gas!E111</f>
        <v>940000</v>
      </c>
      <c r="J705" s="37"/>
    </row>
    <row r="706" spans="1:10" ht="23.1" customHeight="1">
      <c r="A706" s="26"/>
      <c r="B706" s="26"/>
      <c r="C706" s="26"/>
      <c r="D706" s="27" t="s">
        <v>1422</v>
      </c>
      <c r="E706" s="142" t="s">
        <v>1421</v>
      </c>
      <c r="F706" s="142"/>
      <c r="G706" s="27" t="s">
        <v>2151</v>
      </c>
      <c r="H706" s="34">
        <f>Tabung!F37+Gas!D133</f>
        <v>927500</v>
      </c>
      <c r="I706" s="34">
        <f>Tabung!G37+Gas!E133</f>
        <v>933000</v>
      </c>
      <c r="J706" s="37"/>
    </row>
    <row r="707" spans="1:10" ht="23.1" customHeight="1">
      <c r="A707" s="26"/>
      <c r="B707" s="26"/>
      <c r="C707" s="26"/>
      <c r="D707" s="27" t="s">
        <v>1424</v>
      </c>
      <c r="E707" s="142" t="s">
        <v>1423</v>
      </c>
      <c r="F707" s="142"/>
      <c r="G707" s="27" t="s">
        <v>2151</v>
      </c>
      <c r="H707" s="34">
        <f>Tabung!F36+Kran!F10+Gas!D133</f>
        <v>977500</v>
      </c>
      <c r="I707" s="34">
        <f>Tabung!G36+Kran!G10+Gas!E133</f>
        <v>983000</v>
      </c>
      <c r="J707" s="37"/>
    </row>
    <row r="708" spans="1:10" ht="23.1" customHeight="1">
      <c r="A708" s="26"/>
      <c r="B708" s="26"/>
      <c r="C708" s="26"/>
      <c r="D708" s="27" t="s">
        <v>1426</v>
      </c>
      <c r="E708" s="142" t="s">
        <v>1425</v>
      </c>
      <c r="F708" s="142"/>
      <c r="G708" s="27" t="s">
        <v>2151</v>
      </c>
      <c r="H708" s="34">
        <f>Tabung!F36+Gas!D111</f>
        <v>935000</v>
      </c>
      <c r="I708" s="34">
        <f>Tabung!G36+Gas!E111</f>
        <v>940000</v>
      </c>
      <c r="J708" s="37"/>
    </row>
    <row r="709" spans="1:10" ht="23.1" customHeight="1">
      <c r="A709" s="26"/>
      <c r="B709" s="26"/>
      <c r="C709" s="26"/>
      <c r="D709" s="27" t="s">
        <v>1428</v>
      </c>
      <c r="E709" s="142" t="s">
        <v>1427</v>
      </c>
      <c r="F709" s="142"/>
      <c r="G709" s="27" t="s">
        <v>2151</v>
      </c>
      <c r="H709" s="34">
        <f>Tabung!F36+Gas!D133</f>
        <v>927500</v>
      </c>
      <c r="I709" s="34">
        <f>Tabung!G36+Gas!E133</f>
        <v>933000</v>
      </c>
      <c r="J709" s="37"/>
    </row>
    <row r="710" spans="1:10" ht="29.25" customHeight="1">
      <c r="A710" s="26"/>
      <c r="B710" s="26"/>
      <c r="C710" s="26"/>
      <c r="D710" s="27" t="s">
        <v>1430</v>
      </c>
      <c r="E710" s="142" t="s">
        <v>1429</v>
      </c>
      <c r="F710" s="142"/>
      <c r="G710" s="27" t="s">
        <v>2151</v>
      </c>
      <c r="H710" s="34">
        <f>Tabung!F37+Gas!D111</f>
        <v>935000</v>
      </c>
      <c r="I710" s="34">
        <f>Tabung!G37+Gas!E111</f>
        <v>940000</v>
      </c>
      <c r="J710" s="37"/>
    </row>
    <row r="711" spans="1:10" ht="23.1" customHeight="1">
      <c r="A711" s="26"/>
      <c r="B711" s="26"/>
      <c r="C711" s="26"/>
      <c r="D711" s="27" t="s">
        <v>1432</v>
      </c>
      <c r="E711" s="142" t="s">
        <v>1431</v>
      </c>
      <c r="F711" s="142"/>
      <c r="G711" s="27" t="s">
        <v>2151</v>
      </c>
      <c r="H711" s="34">
        <f>Tabung!F37+Gas!D133</f>
        <v>927500</v>
      </c>
      <c r="I711" s="34">
        <f>Tabung!G37+Gas!E133</f>
        <v>933000</v>
      </c>
      <c r="J711" s="37"/>
    </row>
    <row r="712" spans="1:10" ht="23.1" customHeight="1">
      <c r="A712" s="26"/>
      <c r="B712" s="26"/>
      <c r="C712" s="26"/>
      <c r="D712" s="27" t="s">
        <v>1434</v>
      </c>
      <c r="E712" s="142" t="s">
        <v>1433</v>
      </c>
      <c r="F712" s="142"/>
      <c r="G712" s="27" t="s">
        <v>2151</v>
      </c>
      <c r="H712" s="34">
        <f>Tabung!F36+Gas!D110</f>
        <v>1275000</v>
      </c>
      <c r="I712" s="34">
        <f>Tabung!G36+Gas!E110</f>
        <v>1275000</v>
      </c>
      <c r="J712" s="37"/>
    </row>
    <row r="713" spans="1:10" ht="23.1" customHeight="1">
      <c r="A713" s="26"/>
      <c r="B713" s="26"/>
      <c r="C713" s="26"/>
      <c r="D713" s="27" t="s">
        <v>1436</v>
      </c>
      <c r="E713" s="142" t="s">
        <v>1435</v>
      </c>
      <c r="F713" s="142"/>
      <c r="G713" s="27" t="s">
        <v>2151</v>
      </c>
      <c r="H713" s="34">
        <f>Tabung!F38+Gas!D133</f>
        <v>1427500</v>
      </c>
      <c r="I713" s="34">
        <f>Tabung!G38+Gas!E133</f>
        <v>1433000</v>
      </c>
      <c r="J713" s="37"/>
    </row>
    <row r="714" spans="1:10" ht="23.1" customHeight="1">
      <c r="A714" s="26"/>
      <c r="B714" s="26"/>
      <c r="C714" s="26"/>
      <c r="D714" s="27" t="s">
        <v>1438</v>
      </c>
      <c r="E714" s="142" t="s">
        <v>1437</v>
      </c>
      <c r="F714" s="142"/>
      <c r="G714" s="27" t="s">
        <v>2151</v>
      </c>
      <c r="H714" s="34">
        <f>Tabung!F38+Gas!D133</f>
        <v>1427500</v>
      </c>
      <c r="I714" s="34">
        <f>Tabung!G38+Gas!E133</f>
        <v>1433000</v>
      </c>
      <c r="J714" s="37"/>
    </row>
    <row r="715" spans="1:10" ht="23.1" customHeight="1">
      <c r="A715" s="26"/>
      <c r="B715" s="26"/>
      <c r="C715" s="26"/>
      <c r="D715" s="27" t="s">
        <v>1440</v>
      </c>
      <c r="E715" s="142" t="s">
        <v>1439</v>
      </c>
      <c r="F715" s="142"/>
      <c r="G715" s="27" t="s">
        <v>2151</v>
      </c>
      <c r="H715" s="34">
        <f>Tabung!F41+Gas!D112</f>
        <v>1290000</v>
      </c>
      <c r="I715" s="34">
        <f>Tabung!G41+Gas!E112</f>
        <v>1290000</v>
      </c>
      <c r="J715" s="37"/>
    </row>
    <row r="716" spans="1:10" ht="23.1" customHeight="1">
      <c r="A716" s="26"/>
      <c r="B716" s="26"/>
      <c r="C716" s="26"/>
      <c r="D716" s="27" t="s">
        <v>1442</v>
      </c>
      <c r="E716" s="142" t="s">
        <v>1441</v>
      </c>
      <c r="F716" s="142"/>
      <c r="G716" s="27" t="s">
        <v>2151</v>
      </c>
      <c r="H716" s="34">
        <f>Tabung!F41+Gas!D137</f>
        <v>1282500</v>
      </c>
      <c r="I716" s="34">
        <f>Tabung!G41+Gas!E137</f>
        <v>1283000</v>
      </c>
      <c r="J716" s="37"/>
    </row>
    <row r="717" spans="1:10" ht="23.1" customHeight="1">
      <c r="A717" s="26"/>
      <c r="B717" s="26"/>
      <c r="C717" s="26"/>
      <c r="D717" s="27" t="s">
        <v>355</v>
      </c>
      <c r="E717" s="142" t="s">
        <v>354</v>
      </c>
      <c r="F717" s="142"/>
      <c r="G717" s="27" t="s">
        <v>2151</v>
      </c>
      <c r="H717" s="47">
        <f>Tabung!F44+Gas!D53</f>
        <v>380000</v>
      </c>
      <c r="I717" s="47">
        <f>Tabung!G44+Gas!E53</f>
        <v>380000</v>
      </c>
      <c r="J717" s="37"/>
    </row>
    <row r="718" spans="1:10" ht="23.1" customHeight="1">
      <c r="A718" s="26"/>
      <c r="B718" s="26"/>
      <c r="C718" s="26"/>
      <c r="D718" s="27" t="s">
        <v>2174</v>
      </c>
      <c r="E718" s="142" t="s">
        <v>2173</v>
      </c>
      <c r="F718" s="142"/>
      <c r="G718" s="27" t="s">
        <v>2151</v>
      </c>
      <c r="H718" s="34">
        <f>Tabung!F27+Kran!F44</f>
        <v>2335000</v>
      </c>
      <c r="I718" s="34">
        <f>Tabung!G27+Kran!G44</f>
        <v>2335000</v>
      </c>
      <c r="J718" s="37"/>
    </row>
    <row r="719" spans="1:10" ht="23.1" customHeight="1">
      <c r="A719" s="26"/>
      <c r="B719" s="26"/>
      <c r="C719" s="26"/>
      <c r="D719" s="27" t="s">
        <v>2172</v>
      </c>
      <c r="E719" s="142" t="s">
        <v>2171</v>
      </c>
      <c r="F719" s="142"/>
      <c r="G719" s="27" t="s">
        <v>2151</v>
      </c>
      <c r="H719" s="34">
        <f>Tabung!F50+Liquid!F16</f>
        <v>15160000</v>
      </c>
      <c r="I719" s="34">
        <f>Tabung!G50+Liquid!G16</f>
        <v>15360000</v>
      </c>
      <c r="J719" s="37"/>
    </row>
    <row r="720" spans="1:10" ht="23.1" customHeight="1">
      <c r="A720" s="26"/>
      <c r="B720" s="26"/>
      <c r="C720" s="26"/>
      <c r="D720" s="27" t="s">
        <v>2170</v>
      </c>
      <c r="E720" s="142" t="s">
        <v>2169</v>
      </c>
      <c r="F720" s="142"/>
      <c r="G720" s="27" t="s">
        <v>2151</v>
      </c>
      <c r="H720" s="34">
        <f>Tabung!F36+Kran!F55+Gas!D69</f>
        <v>1103750</v>
      </c>
      <c r="I720" s="34">
        <f>Tabung!G36+Kran!G55+Gas!E69</f>
        <v>1097500</v>
      </c>
      <c r="J720" s="37"/>
    </row>
    <row r="721" spans="1:10" ht="23.1" customHeight="1">
      <c r="A721" s="26"/>
      <c r="B721" s="26"/>
      <c r="C721" s="26"/>
      <c r="D721" s="27" t="s">
        <v>1448</v>
      </c>
      <c r="E721" s="142" t="s">
        <v>1447</v>
      </c>
      <c r="F721" s="142"/>
      <c r="G721" s="27" t="s">
        <v>2151</v>
      </c>
      <c r="H721" s="34">
        <f>Tabung!F42+Gas!D5*8</f>
        <v>1420000</v>
      </c>
      <c r="I721" s="34">
        <f>Tabung!G42+Gas!E5*8</f>
        <v>1400000</v>
      </c>
      <c r="J721" s="37"/>
    </row>
    <row r="722" spans="1:10" ht="23.1" customHeight="1">
      <c r="A722" s="26"/>
      <c r="B722" s="26"/>
      <c r="C722" s="26"/>
      <c r="D722" s="27" t="s">
        <v>1450</v>
      </c>
      <c r="E722" s="142" t="s">
        <v>1449</v>
      </c>
      <c r="F722" s="142"/>
      <c r="G722" s="27" t="s">
        <v>2151</v>
      </c>
      <c r="H722" s="34">
        <f>Tabung!F42+Gas!D14+Gas!D5</f>
        <v>1740000</v>
      </c>
      <c r="I722" s="34">
        <f>Tabung!G42+Gas!E14+Gas!E5</f>
        <v>1737500</v>
      </c>
      <c r="J722" s="37"/>
    </row>
    <row r="723" spans="1:10" ht="23.1" customHeight="1">
      <c r="A723" s="26"/>
      <c r="B723" s="26"/>
      <c r="C723" s="26"/>
      <c r="D723" s="27" t="s">
        <v>1452</v>
      </c>
      <c r="E723" s="142" t="s">
        <v>1451</v>
      </c>
      <c r="F723" s="142"/>
      <c r="G723" s="27" t="s">
        <v>2151</v>
      </c>
      <c r="H723" s="34">
        <f>Tabung!F42+Gas!D7+Gas!D5*6</f>
        <v>1680000</v>
      </c>
      <c r="I723" s="34">
        <f>Tabung!G42+Gas!E7+Gas!E5*6</f>
        <v>1695000</v>
      </c>
      <c r="J723" s="37"/>
    </row>
    <row r="724" spans="1:10" ht="23.1" customHeight="1">
      <c r="A724" s="26"/>
      <c r="B724" s="26"/>
      <c r="C724" s="26"/>
      <c r="D724" s="27" t="s">
        <v>1454</v>
      </c>
      <c r="E724" s="142" t="s">
        <v>1453</v>
      </c>
      <c r="F724" s="142"/>
      <c r="G724" s="27" t="s">
        <v>2151</v>
      </c>
      <c r="H724" s="34">
        <f>Tabung!F42+Gas!D15+Gas!D5</f>
        <v>1990000</v>
      </c>
      <c r="I724" s="34">
        <f>Tabung!G42+Gas!E15+Gas!E5</f>
        <v>1987500</v>
      </c>
      <c r="J724" s="37"/>
    </row>
    <row r="725" spans="1:10" ht="23.1" customHeight="1">
      <c r="A725" s="26"/>
      <c r="B725" s="26"/>
      <c r="C725" s="26"/>
      <c r="D725" s="27" t="s">
        <v>1456</v>
      </c>
      <c r="E725" s="142" t="s">
        <v>1455</v>
      </c>
      <c r="F725" s="142"/>
      <c r="G725" s="27" t="s">
        <v>2151</v>
      </c>
      <c r="H725" s="34">
        <f>Tabung!F42+Gas!D6+Gas!D5*3</f>
        <v>1445000</v>
      </c>
      <c r="I725" s="34">
        <f>Tabung!G42+Gas!E6+Gas!E5*3</f>
        <v>1582500</v>
      </c>
      <c r="J725" s="37"/>
    </row>
    <row r="726" spans="1:10" ht="23.1" customHeight="1">
      <c r="A726" s="26"/>
      <c r="B726" s="26"/>
      <c r="C726" s="26"/>
      <c r="D726" s="27" t="s">
        <v>1458</v>
      </c>
      <c r="E726" s="142" t="s">
        <v>1457</v>
      </c>
      <c r="F726" s="142"/>
      <c r="G726" s="27" t="s">
        <v>2151</v>
      </c>
      <c r="H726" s="34">
        <f>Tabung!F42+Gas!D6+Gas!D5*4</f>
        <v>1485000</v>
      </c>
      <c r="I726" s="34">
        <f>Tabung!G42+Gas!E6+Gas!E5*4</f>
        <v>1620000</v>
      </c>
      <c r="J726" s="37"/>
    </row>
    <row r="727" spans="1:10" ht="23.1" customHeight="1">
      <c r="A727" s="26"/>
      <c r="B727" s="26"/>
      <c r="C727" s="26"/>
      <c r="D727" s="27" t="s">
        <v>1460</v>
      </c>
      <c r="E727" s="142" t="s">
        <v>1459</v>
      </c>
      <c r="F727" s="142"/>
      <c r="G727" s="27" t="s">
        <v>2151</v>
      </c>
      <c r="H727" s="34">
        <f>Tabung!F42+Gas!D15+Gas!D5*6</f>
        <v>2190000</v>
      </c>
      <c r="I727" s="34">
        <f>Tabung!G42+Gas!E15+Gas!E5*6</f>
        <v>2175000</v>
      </c>
      <c r="J727" s="37"/>
    </row>
    <row r="728" spans="1:10" ht="23.1" customHeight="1">
      <c r="A728" s="26"/>
      <c r="B728" s="26"/>
      <c r="C728" s="26"/>
      <c r="D728" s="27" t="s">
        <v>1462</v>
      </c>
      <c r="E728" s="142" t="s">
        <v>1461</v>
      </c>
      <c r="F728" s="142"/>
      <c r="G728" s="27" t="s">
        <v>2151</v>
      </c>
      <c r="H728" s="34">
        <f>Tabung!F42+Gas!D7*2+Gas!D5*12</f>
        <v>2260000</v>
      </c>
      <c r="I728" s="34">
        <f>Tabung!G42+Gas!E7*2+Gas!E5*12</f>
        <v>2290000</v>
      </c>
      <c r="J728" s="37"/>
    </row>
    <row r="729" spans="1:10" ht="23.1" customHeight="1">
      <c r="A729" s="26"/>
      <c r="B729" s="26"/>
      <c r="C729" s="26"/>
      <c r="D729" s="27" t="s">
        <v>1464</v>
      </c>
      <c r="E729" s="142" t="s">
        <v>1463</v>
      </c>
      <c r="F729" s="142"/>
      <c r="G729" s="27" t="s">
        <v>2151</v>
      </c>
      <c r="H729" s="34">
        <f>Tabung!F42+Gas!D12+Gas!D5*6</f>
        <v>2115000</v>
      </c>
      <c r="I729" s="34">
        <f>Tabung!G42+Gas!E12+Gas!E5*6</f>
        <v>2100000</v>
      </c>
      <c r="J729" s="37"/>
    </row>
    <row r="730" spans="1:10" ht="23.1" customHeight="1">
      <c r="A730" s="26"/>
      <c r="B730" s="26"/>
      <c r="C730" s="26"/>
      <c r="D730" s="27" t="s">
        <v>1466</v>
      </c>
      <c r="E730" s="142" t="s">
        <v>1465</v>
      </c>
      <c r="F730" s="142"/>
      <c r="G730" s="27" t="s">
        <v>2151</v>
      </c>
      <c r="H730" s="34">
        <f>Tabung!F42+Gas!D13+Gas!D5*8</f>
        <v>2420000</v>
      </c>
      <c r="I730" s="34">
        <f>Tabung!G42+Gas!E13+Gas!E5*8</f>
        <v>2400000</v>
      </c>
      <c r="J730" s="37"/>
    </row>
    <row r="731" spans="1:10" ht="23.1" customHeight="1">
      <c r="A731" s="26"/>
      <c r="B731" s="26"/>
      <c r="C731" s="26"/>
      <c r="D731" s="27" t="s">
        <v>1468</v>
      </c>
      <c r="E731" s="142" t="s">
        <v>1467</v>
      </c>
      <c r="F731" s="142"/>
      <c r="G731" s="27" t="s">
        <v>2151</v>
      </c>
      <c r="H731" s="34">
        <f>Tabung!F42</f>
        <v>1100000</v>
      </c>
      <c r="I731" s="34">
        <f>Tabung!G42</f>
        <v>1100000</v>
      </c>
      <c r="J731" s="37"/>
    </row>
    <row r="732" spans="1:10" ht="19.5" customHeight="1">
      <c r="A732" s="26"/>
      <c r="B732" s="26"/>
      <c r="C732" s="26"/>
      <c r="D732" s="27" t="s">
        <v>1474</v>
      </c>
      <c r="E732" s="142" t="s">
        <v>1473</v>
      </c>
      <c r="F732" s="142"/>
      <c r="G732" s="27" t="s">
        <v>2151</v>
      </c>
      <c r="H732" s="34">
        <f>Tabung!F36+Kran!F56+Gas!D40</f>
        <v>1345000</v>
      </c>
      <c r="I732" s="34">
        <f>Tabung!G36+Kran!G56+Gas!E40</f>
        <v>1345000</v>
      </c>
      <c r="J732" s="37"/>
    </row>
    <row r="733" spans="1:10" ht="23.1" customHeight="1">
      <c r="A733" s="26"/>
      <c r="B733" s="26"/>
      <c r="C733" s="26"/>
      <c r="D733" s="27" t="s">
        <v>1476</v>
      </c>
      <c r="E733" s="142" t="s">
        <v>1475</v>
      </c>
      <c r="F733" s="142"/>
      <c r="G733" s="27" t="s">
        <v>2151</v>
      </c>
      <c r="H733" s="34">
        <f>Tabung!F36+Kran!F56+Gas!D39</f>
        <v>1180000</v>
      </c>
      <c r="I733" s="34">
        <f>Tabung!G36+Kran!G56+Gas!E39</f>
        <v>1180000</v>
      </c>
      <c r="J733" s="37"/>
    </row>
    <row r="734" spans="1:10" ht="23.1" customHeight="1">
      <c r="A734" s="26"/>
      <c r="B734" s="26"/>
      <c r="C734" s="26"/>
      <c r="D734" s="27" t="s">
        <v>1478</v>
      </c>
      <c r="E734" s="142" t="s">
        <v>1477</v>
      </c>
      <c r="F734" s="142"/>
      <c r="G734" s="27" t="s">
        <v>2151</v>
      </c>
      <c r="H734" s="34">
        <f>Tabung!F36+Kran!F56+Gas!D37</f>
        <v>1075000</v>
      </c>
      <c r="I734" s="34">
        <f>Tabung!G36+Kran!G56+Gas!E37</f>
        <v>1105000</v>
      </c>
      <c r="J734" s="37"/>
    </row>
    <row r="735" spans="1:10" ht="23.1" customHeight="1">
      <c r="A735" s="26"/>
      <c r="B735" s="26"/>
      <c r="C735" s="26"/>
      <c r="D735" s="27" t="s">
        <v>1482</v>
      </c>
      <c r="E735" s="142" t="s">
        <v>1481</v>
      </c>
      <c r="F735" s="142"/>
      <c r="G735" s="27" t="s">
        <v>2151</v>
      </c>
      <c r="H735" s="34">
        <f>Tabung!F43+Gas!D50</f>
        <v>370000</v>
      </c>
      <c r="I735" s="34">
        <f>Tabung!G43+Gas!E50</f>
        <v>370000</v>
      </c>
      <c r="J735" s="37"/>
    </row>
    <row r="736" spans="1:10" ht="23.1" customHeight="1">
      <c r="A736" s="26"/>
      <c r="B736" s="26"/>
      <c r="C736" s="26"/>
      <c r="D736" s="27" t="s">
        <v>1484</v>
      </c>
      <c r="E736" s="142" t="s">
        <v>1483</v>
      </c>
      <c r="F736" s="142"/>
      <c r="G736" s="27" t="s">
        <v>2151</v>
      </c>
      <c r="H736" s="34">
        <f>Tabung!F43+Kran!F32</f>
        <v>422500</v>
      </c>
      <c r="I736" s="34">
        <f>Tabung!G43+Kran!G32</f>
        <v>422500</v>
      </c>
      <c r="J736" s="37"/>
    </row>
    <row r="737" spans="1:10" ht="23.1" customHeight="1">
      <c r="A737" s="26"/>
      <c r="B737" s="26"/>
      <c r="C737" s="26"/>
      <c r="D737" s="27" t="s">
        <v>1486</v>
      </c>
      <c r="E737" s="142" t="s">
        <v>1485</v>
      </c>
      <c r="F737" s="142"/>
      <c r="G737" s="27" t="s">
        <v>2151</v>
      </c>
      <c r="H737" s="34">
        <f>Tabung!F45+Gas!D55</f>
        <v>410000</v>
      </c>
      <c r="I737" s="34">
        <f>Tabung!G45+Gas!E55</f>
        <v>410000</v>
      </c>
      <c r="J737" s="37"/>
    </row>
    <row r="738" spans="1:10" ht="23.1" customHeight="1">
      <c r="A738" s="26"/>
      <c r="B738" s="26"/>
      <c r="C738" s="26"/>
      <c r="D738" s="27" t="s">
        <v>1488</v>
      </c>
      <c r="E738" s="142" t="s">
        <v>1487</v>
      </c>
      <c r="F738" s="142"/>
      <c r="G738" s="27" t="s">
        <v>2151</v>
      </c>
      <c r="H738" s="34">
        <f>Tabung!F45+Gas!D49</f>
        <v>400000</v>
      </c>
      <c r="I738" s="34">
        <f>Tabung!G45+Gas!E49</f>
        <v>410000</v>
      </c>
      <c r="J738" s="37"/>
    </row>
    <row r="739" spans="1:10" ht="23.1" customHeight="1">
      <c r="A739" s="26"/>
      <c r="B739" s="26"/>
      <c r="C739" s="26"/>
      <c r="D739" s="27" t="s">
        <v>1490</v>
      </c>
      <c r="E739" s="142" t="s">
        <v>1489</v>
      </c>
      <c r="F739" s="142"/>
      <c r="G739" s="27" t="s">
        <v>2151</v>
      </c>
      <c r="H739" s="34">
        <f>Tabung!F45+Kran!F32</f>
        <v>442500</v>
      </c>
      <c r="I739" s="34">
        <f>Tabung!G45+Kran!G32</f>
        <v>442500</v>
      </c>
      <c r="J739" s="37"/>
    </row>
    <row r="740" spans="1:10" ht="23.1" customHeight="1">
      <c r="A740" s="26"/>
      <c r="B740" s="26"/>
      <c r="C740" s="26"/>
      <c r="D740" s="27" t="s">
        <v>1492</v>
      </c>
      <c r="E740" s="142" t="s">
        <v>1491</v>
      </c>
      <c r="F740" s="142"/>
      <c r="G740" s="27" t="s">
        <v>2151</v>
      </c>
      <c r="H740" s="34">
        <f>Tabung!F45+Kran!F31</f>
        <v>437500</v>
      </c>
      <c r="I740" s="34">
        <f>Tabung!G45+Kran!G31</f>
        <v>437500</v>
      </c>
      <c r="J740" s="37"/>
    </row>
    <row r="741" spans="1:10" ht="23.1" customHeight="1">
      <c r="A741" s="26"/>
      <c r="B741" s="26"/>
      <c r="C741" s="26"/>
      <c r="D741" s="27" t="s">
        <v>1494</v>
      </c>
      <c r="E741" s="142" t="s">
        <v>1493</v>
      </c>
      <c r="F741" s="142"/>
      <c r="G741" s="27" t="s">
        <v>2151</v>
      </c>
      <c r="H741" s="34">
        <f>Tabung!F46+Gas!D55</f>
        <v>435000</v>
      </c>
      <c r="I741" s="34">
        <f>Tabung!G46+Gas!E55</f>
        <v>435000</v>
      </c>
      <c r="J741" s="37"/>
    </row>
    <row r="742" spans="1:10" ht="23.1" customHeight="1">
      <c r="A742" s="26"/>
      <c r="B742" s="26"/>
      <c r="C742" s="26"/>
      <c r="D742" s="27" t="s">
        <v>1496</v>
      </c>
      <c r="E742" s="142" t="s">
        <v>1495</v>
      </c>
      <c r="F742" s="142"/>
      <c r="G742" s="27" t="s">
        <v>2151</v>
      </c>
      <c r="H742" s="34">
        <f>Tabung!F46</f>
        <v>375000</v>
      </c>
      <c r="I742" s="34">
        <f>Tabung!G46</f>
        <v>375000</v>
      </c>
      <c r="J742" s="37"/>
    </row>
    <row r="743" spans="1:10" ht="23.1" customHeight="1">
      <c r="A743" s="26"/>
      <c r="B743" s="26"/>
      <c r="C743" s="26"/>
      <c r="D743" s="27" t="s">
        <v>1499</v>
      </c>
      <c r="E743" s="142" t="s">
        <v>46</v>
      </c>
      <c r="F743" s="142"/>
      <c r="G743" s="27" t="s">
        <v>2151</v>
      </c>
      <c r="H743" s="34">
        <f>Tabung!F47</f>
        <v>0</v>
      </c>
      <c r="I743" s="34">
        <f>Tabung!G47</f>
        <v>0</v>
      </c>
      <c r="J743" s="37"/>
    </row>
    <row r="744" spans="1:10" ht="23.1" customHeight="1">
      <c r="A744" s="26"/>
      <c r="B744" s="26"/>
      <c r="C744" s="26"/>
      <c r="D744" s="27" t="s">
        <v>1501</v>
      </c>
      <c r="E744" s="142" t="s">
        <v>1500</v>
      </c>
      <c r="F744" s="142"/>
      <c r="G744" s="27" t="s">
        <v>2151</v>
      </c>
      <c r="H744" s="34">
        <f>Tabung!F21+Kran!F54</f>
        <v>245000</v>
      </c>
      <c r="I744" s="34">
        <f>Tabung!G21+Kran!G54</f>
        <v>245000</v>
      </c>
      <c r="J744" s="37"/>
    </row>
    <row r="745" spans="1:10" ht="23.1" customHeight="1">
      <c r="A745" s="26"/>
      <c r="B745" s="26"/>
      <c r="C745" s="26"/>
      <c r="D745" s="27" t="s">
        <v>1505</v>
      </c>
      <c r="E745" s="142" t="s">
        <v>1504</v>
      </c>
      <c r="F745" s="142"/>
      <c r="G745" s="27" t="s">
        <v>2151</v>
      </c>
      <c r="H745" s="34">
        <f>Tabung!F19+Kran!F55</f>
        <v>330000</v>
      </c>
      <c r="I745" s="34">
        <f>Tabung!G19+Kran!G55</f>
        <v>330000</v>
      </c>
      <c r="J745" s="37"/>
    </row>
    <row r="746" spans="1:10" ht="23.1" customHeight="1">
      <c r="A746" s="26"/>
      <c r="B746" s="26"/>
      <c r="C746" s="26"/>
      <c r="D746" s="27" t="s">
        <v>1507</v>
      </c>
      <c r="E746" s="142" t="s">
        <v>1506</v>
      </c>
      <c r="F746" s="142"/>
      <c r="G746" s="27" t="s">
        <v>2151</v>
      </c>
      <c r="H746" s="34">
        <f>Tabung!F19+Kran!F54</f>
        <v>245000</v>
      </c>
      <c r="I746" s="34">
        <f>Tabung!G19+Kran!G54</f>
        <v>245000</v>
      </c>
      <c r="J746" s="37"/>
    </row>
    <row r="747" spans="1:10" ht="23.1" customHeight="1">
      <c r="A747" s="26"/>
      <c r="B747" s="26"/>
      <c r="C747" s="26"/>
      <c r="D747" s="27" t="s">
        <v>1509</v>
      </c>
      <c r="E747" s="142" t="s">
        <v>1508</v>
      </c>
      <c r="F747" s="142"/>
      <c r="G747" s="27" t="s">
        <v>2151</v>
      </c>
      <c r="H747" s="34">
        <f>Tabung!F21+Kran!F57+Gas!D96</f>
        <v>860000</v>
      </c>
      <c r="I747" s="34">
        <f>Tabung!G21+Kran!G57+Gas!E96</f>
        <v>860000</v>
      </c>
      <c r="J747" s="37"/>
    </row>
    <row r="748" spans="1:10" ht="23.1" customHeight="1">
      <c r="A748" s="26"/>
      <c r="B748" s="26"/>
      <c r="C748" s="26"/>
      <c r="D748" s="27" t="s">
        <v>1511</v>
      </c>
      <c r="E748" s="142" t="s">
        <v>1510</v>
      </c>
      <c r="F748" s="142"/>
      <c r="G748" s="27" t="s">
        <v>2151</v>
      </c>
      <c r="H748" s="34">
        <f>Tabung!F19+Kran!F55+Gas!D55</f>
        <v>390000</v>
      </c>
      <c r="I748" s="34">
        <f>Tabung!G19+Kran!G55+Gas!E55</f>
        <v>390000</v>
      </c>
      <c r="J748" s="37"/>
    </row>
    <row r="749" spans="1:10" ht="23.1" customHeight="1">
      <c r="A749" s="26"/>
      <c r="B749" s="26"/>
      <c r="C749" s="26"/>
      <c r="D749" s="27" t="s">
        <v>1513</v>
      </c>
      <c r="E749" s="142" t="s">
        <v>1512</v>
      </c>
      <c r="F749" s="142"/>
      <c r="G749" s="27" t="s">
        <v>2151</v>
      </c>
      <c r="H749" s="34">
        <f>Tabung!F21+Kran!F55</f>
        <v>330000</v>
      </c>
      <c r="I749" s="34">
        <f>Tabung!G21+Kran!G55</f>
        <v>330000</v>
      </c>
      <c r="J749" s="37"/>
    </row>
    <row r="750" spans="1:10" ht="23.1" customHeight="1">
      <c r="A750" s="26"/>
      <c r="B750" s="26"/>
      <c r="C750" s="26"/>
      <c r="D750" s="27" t="s">
        <v>1515</v>
      </c>
      <c r="E750" s="142" t="s">
        <v>1514</v>
      </c>
      <c r="F750" s="142"/>
      <c r="G750" s="27" t="s">
        <v>2151</v>
      </c>
      <c r="H750" s="34">
        <f>Tabung!F19+Kran!F55+Gas!D53</f>
        <v>380000</v>
      </c>
      <c r="I750" s="34">
        <f>Tabung!G19+Kran!G55+Gas!E53</f>
        <v>380000</v>
      </c>
      <c r="J750" s="37"/>
    </row>
    <row r="751" spans="1:10" ht="23.1" customHeight="1">
      <c r="A751" s="26"/>
      <c r="B751" s="26"/>
      <c r="C751" s="26"/>
      <c r="D751" s="27" t="s">
        <v>1517</v>
      </c>
      <c r="E751" s="142" t="s">
        <v>1516</v>
      </c>
      <c r="F751" s="142"/>
      <c r="G751" s="27" t="s">
        <v>2151</v>
      </c>
      <c r="H751" s="34" t="e">
        <f>Tabung!F21+Kran!F55+Gas!#REF!</f>
        <v>#REF!</v>
      </c>
      <c r="I751" s="34" t="e">
        <f>Tabung!G21+Kran!G55+Gas!#REF!</f>
        <v>#REF!</v>
      </c>
      <c r="J751" s="37"/>
    </row>
    <row r="752" spans="1:10" ht="23.1" customHeight="1">
      <c r="A752" s="26"/>
      <c r="B752" s="26"/>
      <c r="C752" s="26"/>
      <c r="D752" s="27" t="s">
        <v>1519</v>
      </c>
      <c r="E752" s="142" t="s">
        <v>1518</v>
      </c>
      <c r="F752" s="142"/>
      <c r="G752" s="27" t="s">
        <v>2151</v>
      </c>
      <c r="H752" s="34">
        <f>Tabung!F21+Gas!D28</f>
        <v>460000</v>
      </c>
      <c r="I752" s="34">
        <f>Tabung!G21+Gas!E28</f>
        <v>445000</v>
      </c>
      <c r="J752" s="37"/>
    </row>
    <row r="753" spans="1:10" ht="23.1" customHeight="1">
      <c r="A753" s="26"/>
      <c r="B753" s="26"/>
      <c r="C753" s="26"/>
      <c r="D753" s="27" t="s">
        <v>1521</v>
      </c>
      <c r="E753" s="142" t="s">
        <v>1520</v>
      </c>
      <c r="F753" s="142"/>
      <c r="G753" s="27" t="s">
        <v>2151</v>
      </c>
      <c r="H753" s="34">
        <f>Tabung!F21+Gas!D29</f>
        <v>810000</v>
      </c>
      <c r="I753" s="34">
        <f>Tabung!G21+Gas!E29</f>
        <v>795000</v>
      </c>
      <c r="J753" s="37"/>
    </row>
    <row r="754" spans="1:10" ht="23.1" customHeight="1">
      <c r="A754" s="26"/>
      <c r="B754" s="26"/>
      <c r="C754" s="26"/>
      <c r="D754" s="27" t="s">
        <v>1523</v>
      </c>
      <c r="E754" s="142" t="s">
        <v>1522</v>
      </c>
      <c r="F754" s="142"/>
      <c r="G754" s="27" t="s">
        <v>2151</v>
      </c>
      <c r="H754" s="34">
        <f>Tabung!F21+Gas!D27</f>
        <v>360000</v>
      </c>
      <c r="I754" s="34">
        <f>Tabung!G21+Gas!E27</f>
        <v>385000</v>
      </c>
      <c r="J754" s="37"/>
    </row>
    <row r="755" spans="1:10" ht="23.1" customHeight="1">
      <c r="A755" s="26"/>
      <c r="B755" s="26"/>
      <c r="C755" s="26"/>
      <c r="D755" s="27" t="s">
        <v>1525</v>
      </c>
      <c r="E755" s="142" t="s">
        <v>1524</v>
      </c>
      <c r="F755" s="142"/>
      <c r="G755" s="27" t="s">
        <v>2151</v>
      </c>
      <c r="H755" s="34">
        <f>Tabung!F21</f>
        <v>295000</v>
      </c>
      <c r="I755" s="34">
        <f>Tabung!G21</f>
        <v>295000</v>
      </c>
      <c r="J755" s="37"/>
    </row>
    <row r="756" spans="1:10" ht="18" customHeight="1">
      <c r="A756" s="26"/>
      <c r="B756" s="26"/>
      <c r="C756" s="26"/>
      <c r="D756" s="27" t="s">
        <v>1527</v>
      </c>
      <c r="E756" s="142" t="s">
        <v>1526</v>
      </c>
      <c r="F756" s="142"/>
      <c r="G756" s="27" t="s">
        <v>2151</v>
      </c>
      <c r="H756" s="34">
        <f>Tabung!F21</f>
        <v>295000</v>
      </c>
      <c r="I756" s="34">
        <f>Tabung!G21</f>
        <v>295000</v>
      </c>
      <c r="J756" s="37"/>
    </row>
    <row r="757" spans="1:10" ht="23.1" customHeight="1">
      <c r="A757" s="26"/>
      <c r="B757" s="26"/>
      <c r="C757" s="26"/>
      <c r="D757" s="27" t="s">
        <v>1529</v>
      </c>
      <c r="E757" s="142" t="s">
        <v>1528</v>
      </c>
      <c r="F757" s="142"/>
      <c r="G757" s="27" t="s">
        <v>2151</v>
      </c>
      <c r="H757" s="34">
        <f>Tabung!F22+Gas!D28</f>
        <v>460000</v>
      </c>
      <c r="I757" s="34">
        <f>Tabung!G22+Gas!E28</f>
        <v>445000</v>
      </c>
      <c r="J757" s="37"/>
    </row>
    <row r="758" spans="1:10" ht="23.1" customHeight="1">
      <c r="A758" s="26"/>
      <c r="B758" s="26"/>
      <c r="C758" s="26"/>
      <c r="D758" s="27" t="s">
        <v>1531</v>
      </c>
      <c r="E758" s="142" t="s">
        <v>1530</v>
      </c>
      <c r="F758" s="142"/>
      <c r="G758" s="27" t="s">
        <v>2151</v>
      </c>
      <c r="H758" s="34">
        <f>Tabung!F22+Gas!D29</f>
        <v>810000</v>
      </c>
      <c r="I758" s="34">
        <f>Tabung!G22+Gas!E29</f>
        <v>795000</v>
      </c>
      <c r="J758" s="37"/>
    </row>
    <row r="759" spans="1:10" ht="23.1" customHeight="1">
      <c r="A759" s="26"/>
      <c r="B759" s="26"/>
      <c r="C759" s="26"/>
      <c r="D759" s="27" t="s">
        <v>1533</v>
      </c>
      <c r="E759" s="142" t="s">
        <v>1532</v>
      </c>
      <c r="F759" s="142"/>
      <c r="G759" s="27" t="s">
        <v>2151</v>
      </c>
      <c r="H759" s="34">
        <f>Tabung!F22+Gas!D27</f>
        <v>360000</v>
      </c>
      <c r="I759" s="34">
        <f>Tabung!G22+Gas!E27</f>
        <v>385000</v>
      </c>
      <c r="J759" s="37"/>
    </row>
    <row r="760" spans="1:10" ht="23.1" customHeight="1">
      <c r="A760" s="26"/>
      <c r="B760" s="26"/>
      <c r="C760" s="26"/>
      <c r="D760" s="27" t="s">
        <v>1535</v>
      </c>
      <c r="E760" s="142" t="s">
        <v>1534</v>
      </c>
      <c r="F760" s="142"/>
      <c r="G760" s="27" t="s">
        <v>2151</v>
      </c>
      <c r="H760" s="34">
        <f>Tabung!F22+Gas!D80</f>
        <v>295000</v>
      </c>
      <c r="I760" s="34">
        <f>Tabung!G22+Gas!E80</f>
        <v>295000</v>
      </c>
      <c r="J760" s="37"/>
    </row>
    <row r="761" spans="1:10" ht="23.1" customHeight="1">
      <c r="A761" s="26"/>
      <c r="B761" s="26"/>
      <c r="C761" s="26"/>
      <c r="D761" s="27" t="s">
        <v>1539</v>
      </c>
      <c r="E761" s="142" t="s">
        <v>1538</v>
      </c>
      <c r="F761" s="142"/>
      <c r="G761" s="27" t="s">
        <v>2151</v>
      </c>
      <c r="H761" s="34" t="e">
        <f>Tabung!F22+Gas!#REF!</f>
        <v>#REF!</v>
      </c>
      <c r="I761" s="34" t="e">
        <f>Tabung!G22+Gas!#REF!</f>
        <v>#REF!</v>
      </c>
      <c r="J761" s="37"/>
    </row>
    <row r="762" spans="1:10" ht="23.1" customHeight="1">
      <c r="A762" s="26"/>
      <c r="B762" s="26"/>
      <c r="C762" s="26"/>
      <c r="D762" s="27" t="s">
        <v>1537</v>
      </c>
      <c r="E762" s="142" t="s">
        <v>1536</v>
      </c>
      <c r="F762" s="142"/>
      <c r="G762" s="27" t="s">
        <v>2151</v>
      </c>
      <c r="H762" s="34">
        <f>Tabung!F22</f>
        <v>295000</v>
      </c>
      <c r="I762" s="34">
        <f>Tabung!G22</f>
        <v>295000</v>
      </c>
      <c r="J762" s="37"/>
    </row>
    <row r="763" spans="1:10" ht="23.1" customHeight="1">
      <c r="A763" s="26"/>
      <c r="B763" s="26"/>
      <c r="C763" s="26"/>
      <c r="D763" s="27" t="s">
        <v>1543</v>
      </c>
      <c r="E763" s="142" t="s">
        <v>1542</v>
      </c>
      <c r="F763" s="142"/>
      <c r="G763" s="27" t="s">
        <v>2151</v>
      </c>
      <c r="H763" s="34">
        <f>Tabung!F21+Kran!F57+Gas!D85</f>
        <v>459000</v>
      </c>
      <c r="I763" s="34">
        <f>Tabung!G21+Kran!G57+Gas!E85</f>
        <v>485000</v>
      </c>
      <c r="J763" s="37"/>
    </row>
    <row r="764" spans="1:10" ht="23.1" customHeight="1">
      <c r="A764" s="26"/>
      <c r="B764" s="26"/>
      <c r="C764" s="26"/>
      <c r="D764" s="27" t="s">
        <v>1545</v>
      </c>
      <c r="E764" s="142" t="s">
        <v>1544</v>
      </c>
      <c r="F764" s="142"/>
      <c r="G764" s="27" t="s">
        <v>2151</v>
      </c>
      <c r="H764" s="34">
        <f>Tabung!F21+Kran!F54</f>
        <v>245000</v>
      </c>
      <c r="I764" s="34">
        <f>Tabung!G21+Kran!G54</f>
        <v>245000</v>
      </c>
      <c r="J764" s="37"/>
    </row>
    <row r="765" spans="1:10" ht="23.1" customHeight="1">
      <c r="A765" s="26"/>
      <c r="B765" s="26"/>
      <c r="C765" s="26"/>
      <c r="D765" s="27" t="s">
        <v>1547</v>
      </c>
      <c r="E765" s="142" t="s">
        <v>1546</v>
      </c>
      <c r="F765" s="142"/>
      <c r="G765" s="27" t="s">
        <v>2151</v>
      </c>
      <c r="H765" s="34">
        <f>Tabung!F26+Kran!F55+Gas!D58</f>
        <v>615000</v>
      </c>
      <c r="I765" s="34">
        <f>Tabung!G26+Kran!G55+Gas!E58</f>
        <v>615000</v>
      </c>
      <c r="J765" s="37"/>
    </row>
    <row r="766" spans="1:10" ht="23.1" customHeight="1">
      <c r="A766" s="26"/>
      <c r="B766" s="26"/>
      <c r="C766" s="26"/>
      <c r="D766" s="27" t="s">
        <v>1549</v>
      </c>
      <c r="E766" s="142" t="s">
        <v>1548</v>
      </c>
      <c r="F766" s="142"/>
      <c r="G766" s="27" t="s">
        <v>2151</v>
      </c>
      <c r="H766" s="34">
        <f>Tabung!F26+Kran!F55</f>
        <v>535000</v>
      </c>
      <c r="I766" s="34">
        <f>Tabung!G26+Kran!G55</f>
        <v>535000</v>
      </c>
      <c r="J766" s="37"/>
    </row>
    <row r="767" spans="1:10" ht="23.1" customHeight="1">
      <c r="A767" s="26"/>
      <c r="B767" s="26"/>
      <c r="C767" s="26"/>
      <c r="D767" s="27" t="s">
        <v>1551</v>
      </c>
      <c r="E767" s="142" t="s">
        <v>1550</v>
      </c>
      <c r="F767" s="142"/>
      <c r="G767" s="27" t="s">
        <v>2151</v>
      </c>
      <c r="H767" s="34">
        <f>Tabung!F24+Gas!D79</f>
        <v>500000</v>
      </c>
      <c r="I767" s="34">
        <f>Tabung!G24+Gas!E79</f>
        <v>500000</v>
      </c>
      <c r="J767" s="37"/>
    </row>
    <row r="768" spans="1:10" ht="23.1" customHeight="1">
      <c r="A768" s="26"/>
      <c r="B768" s="26"/>
      <c r="C768" s="26"/>
      <c r="D768" s="27" t="s">
        <v>1555</v>
      </c>
      <c r="E768" s="142" t="s">
        <v>1554</v>
      </c>
      <c r="F768" s="142"/>
      <c r="G768" s="27" t="s">
        <v>2151</v>
      </c>
      <c r="H768" s="34">
        <f>Tabung!F24+Kran!F57+Gas!D89</f>
        <v>664000</v>
      </c>
      <c r="I768" s="34">
        <f>Tabung!G24+Kran!G57+Gas!E89</f>
        <v>690000</v>
      </c>
      <c r="J768" s="37"/>
    </row>
    <row r="769" spans="1:10" ht="23.1" customHeight="1">
      <c r="A769" s="26"/>
      <c r="B769" s="26"/>
      <c r="C769" s="26"/>
      <c r="D769" s="27" t="s">
        <v>1557</v>
      </c>
      <c r="E769" s="142" t="s">
        <v>1556</v>
      </c>
      <c r="F769" s="142"/>
      <c r="G769" s="27" t="s">
        <v>2151</v>
      </c>
      <c r="H769" s="34">
        <f>Tabung!F26+Kran!F55+Gas!D49</f>
        <v>585000</v>
      </c>
      <c r="I769" s="34">
        <f>Tabung!G26+Kran!G55+Gas!E49</f>
        <v>595000</v>
      </c>
      <c r="J769" s="37"/>
    </row>
    <row r="770" spans="1:10" ht="23.1" customHeight="1">
      <c r="A770" s="26"/>
      <c r="B770" s="26"/>
      <c r="C770" s="26"/>
      <c r="D770" s="27" t="s">
        <v>1561</v>
      </c>
      <c r="E770" s="142" t="s">
        <v>1560</v>
      </c>
      <c r="F770" s="142"/>
      <c r="G770" s="27" t="s">
        <v>2151</v>
      </c>
      <c r="H770" s="34">
        <f>Tabung!F21+Kran!F55+Gas!D120</f>
        <v>1350000</v>
      </c>
      <c r="I770" s="34">
        <f>Tabung!G21+Kran!G55+Gas!E120</f>
        <v>1350000</v>
      </c>
      <c r="J770" s="37"/>
    </row>
    <row r="771" spans="1:10" ht="23.1" customHeight="1">
      <c r="A771" s="26"/>
      <c r="B771" s="26"/>
      <c r="C771" s="26"/>
      <c r="D771" s="27" t="s">
        <v>1563</v>
      </c>
      <c r="E771" s="142" t="s">
        <v>1562</v>
      </c>
      <c r="F771" s="142"/>
      <c r="G771" s="27" t="s">
        <v>2151</v>
      </c>
      <c r="H771" s="34">
        <f>Tabung!F26+Gas!D31</f>
        <v>665000</v>
      </c>
      <c r="I771" s="34">
        <f>Tabung!G26+Gas!E31</f>
        <v>650000</v>
      </c>
      <c r="J771" s="37"/>
    </row>
    <row r="772" spans="1:10" ht="23.1" customHeight="1">
      <c r="A772" s="26"/>
      <c r="B772" s="26"/>
      <c r="C772" s="26"/>
      <c r="D772" s="27" t="s">
        <v>1565</v>
      </c>
      <c r="E772" s="142" t="s">
        <v>1564</v>
      </c>
      <c r="F772" s="142"/>
      <c r="G772" s="27" t="s">
        <v>2151</v>
      </c>
      <c r="H772" s="34">
        <f>Tabung!F21+Gas!D32</f>
        <v>810000</v>
      </c>
      <c r="I772" s="34">
        <f>Tabung!G21+Gas!E32</f>
        <v>795000</v>
      </c>
      <c r="J772" s="37"/>
    </row>
    <row r="773" spans="1:10" ht="23.1" customHeight="1">
      <c r="A773" s="26"/>
      <c r="B773" s="26"/>
      <c r="C773" s="26"/>
      <c r="D773" s="27" t="s">
        <v>1567</v>
      </c>
      <c r="E773" s="142" t="s">
        <v>1566</v>
      </c>
      <c r="F773" s="142"/>
      <c r="G773" s="27" t="s">
        <v>2151</v>
      </c>
      <c r="H773" s="34">
        <f>Tabung!F24+Gas!D89</f>
        <v>599000</v>
      </c>
      <c r="I773" s="34">
        <f>Tabung!G24+Gas!E89</f>
        <v>625000</v>
      </c>
      <c r="J773" s="37"/>
    </row>
    <row r="774" spans="1:10" ht="23.1" customHeight="1">
      <c r="A774" s="26"/>
      <c r="B774" s="26"/>
      <c r="C774" s="26"/>
      <c r="D774" s="27" t="s">
        <v>1569</v>
      </c>
      <c r="E774" s="142" t="s">
        <v>1568</v>
      </c>
      <c r="F774" s="142"/>
      <c r="G774" s="27" t="s">
        <v>2151</v>
      </c>
      <c r="H774" s="34">
        <f>Tabung!F24+Gas!D89</f>
        <v>599000</v>
      </c>
      <c r="I774" s="34">
        <f>Tabung!G24+Gas!E89</f>
        <v>625000</v>
      </c>
      <c r="J774" s="37"/>
    </row>
    <row r="775" spans="1:10" ht="23.1" customHeight="1">
      <c r="A775" s="26"/>
      <c r="B775" s="26"/>
      <c r="C775" s="26"/>
      <c r="D775" s="27" t="s">
        <v>1571</v>
      </c>
      <c r="E775" s="142" t="s">
        <v>1570</v>
      </c>
      <c r="F775" s="142"/>
      <c r="G775" s="27" t="s">
        <v>2151</v>
      </c>
      <c r="H775" s="34">
        <f>Tabung!F26</f>
        <v>500000</v>
      </c>
      <c r="I775" s="34">
        <f>Tabung!G26</f>
        <v>500000</v>
      </c>
      <c r="J775" s="37"/>
    </row>
    <row r="776" spans="1:10" ht="23.1" customHeight="1">
      <c r="A776" s="26"/>
      <c r="B776" s="26"/>
      <c r="C776" s="26"/>
      <c r="D776" s="27" t="s">
        <v>1573</v>
      </c>
      <c r="E776" s="142" t="s">
        <v>1572</v>
      </c>
      <c r="F776" s="142"/>
      <c r="G776" s="27" t="s">
        <v>2151</v>
      </c>
      <c r="H776" s="34">
        <f>Tabung!F24</f>
        <v>500000</v>
      </c>
      <c r="I776" s="34">
        <f>Tabung!G24</f>
        <v>500000</v>
      </c>
      <c r="J776" s="37"/>
    </row>
    <row r="777" spans="1:10" ht="23.1" customHeight="1">
      <c r="A777" s="26"/>
      <c r="B777" s="26"/>
      <c r="C777" s="26"/>
      <c r="D777" s="27" t="s">
        <v>1575</v>
      </c>
      <c r="E777" s="142" t="s">
        <v>1574</v>
      </c>
      <c r="F777" s="142"/>
      <c r="G777" s="27" t="s">
        <v>2151</v>
      </c>
      <c r="H777" s="34">
        <f>Tabung!F26+Kran!F57</f>
        <v>565000</v>
      </c>
      <c r="I777" s="34">
        <f>Tabung!G26+Kran!G57</f>
        <v>565000</v>
      </c>
      <c r="J777" s="37"/>
    </row>
    <row r="778" spans="1:10" ht="23.1" customHeight="1">
      <c r="A778" s="26"/>
      <c r="B778" s="26"/>
      <c r="C778" s="26"/>
      <c r="D778" s="27" t="s">
        <v>1577</v>
      </c>
      <c r="E778" s="142" t="s">
        <v>1576</v>
      </c>
      <c r="F778" s="142"/>
      <c r="G778" s="27" t="s">
        <v>2151</v>
      </c>
      <c r="H778" s="34">
        <f>Tabung!F24+Kran!F57+Gas!D89</f>
        <v>664000</v>
      </c>
      <c r="I778" s="34">
        <f>Tabung!G24+Kran!G57+Gas!E89</f>
        <v>690000</v>
      </c>
      <c r="J778" s="37"/>
    </row>
    <row r="779" spans="1:10" ht="23.1" customHeight="1">
      <c r="A779" s="26"/>
      <c r="B779" s="26"/>
      <c r="C779" s="26"/>
      <c r="D779" s="27" t="s">
        <v>1579</v>
      </c>
      <c r="E779" s="142" t="s">
        <v>1578</v>
      </c>
      <c r="F779" s="142"/>
      <c r="G779" s="27" t="s">
        <v>2151</v>
      </c>
      <c r="H779" s="34">
        <f>Tabung!F27+Kran!F41</f>
        <v>2287500</v>
      </c>
      <c r="I779" s="34">
        <f>Tabung!G27+Kran!G41</f>
        <v>2287500</v>
      </c>
      <c r="J779" s="37"/>
    </row>
    <row r="780" spans="1:10" ht="20.25" customHeight="1">
      <c r="A780" s="26"/>
      <c r="B780" s="26"/>
      <c r="C780" s="26"/>
      <c r="D780" s="27" t="s">
        <v>1581</v>
      </c>
      <c r="E780" s="142" t="s">
        <v>1580</v>
      </c>
      <c r="F780" s="142"/>
      <c r="G780" s="27" t="s">
        <v>2151</v>
      </c>
      <c r="H780" s="34">
        <f>Tabung!F27+Kran!F41</f>
        <v>2287500</v>
      </c>
      <c r="I780" s="34">
        <f>Tabung!G27+Kran!G41</f>
        <v>2287500</v>
      </c>
      <c r="J780" s="37"/>
    </row>
    <row r="781" spans="1:10" ht="23.1" customHeight="1">
      <c r="A781" s="26"/>
      <c r="B781" s="26"/>
      <c r="C781" s="26"/>
      <c r="D781" s="27" t="s">
        <v>1583</v>
      </c>
      <c r="E781" s="142" t="s">
        <v>1582</v>
      </c>
      <c r="F781" s="142"/>
      <c r="G781" s="27" t="s">
        <v>2151</v>
      </c>
      <c r="H781" s="34">
        <f>Tabung!F27+Kran!F58</f>
        <v>2340000</v>
      </c>
      <c r="I781" s="34">
        <f>Tabung!G27+Kran!G58</f>
        <v>2340000</v>
      </c>
      <c r="J781" s="37"/>
    </row>
    <row r="782" spans="1:10" ht="23.1" customHeight="1">
      <c r="A782" s="26"/>
      <c r="B782" s="26"/>
      <c r="C782" s="26"/>
      <c r="D782" s="27" t="s">
        <v>1585</v>
      </c>
      <c r="E782" s="142" t="s">
        <v>1584</v>
      </c>
      <c r="F782" s="142"/>
      <c r="G782" s="27" t="s">
        <v>2151</v>
      </c>
      <c r="H782" s="34">
        <f>Tabung!F27</f>
        <v>2200000</v>
      </c>
      <c r="I782" s="34">
        <f>Tabung!G27</f>
        <v>2200000</v>
      </c>
      <c r="J782" s="37"/>
    </row>
    <row r="783" spans="1:10" ht="23.1" customHeight="1">
      <c r="A783" s="26"/>
      <c r="B783" s="26"/>
      <c r="C783" s="26"/>
      <c r="D783" s="27" t="s">
        <v>1587</v>
      </c>
      <c r="E783" s="142" t="s">
        <v>1586</v>
      </c>
      <c r="F783" s="142"/>
      <c r="G783" s="27" t="s">
        <v>2151</v>
      </c>
      <c r="H783" s="34">
        <f>Tabung!F27+Kran!F58</f>
        <v>2340000</v>
      </c>
      <c r="I783" s="34">
        <f>Tabung!G27+Kran!G58</f>
        <v>2340000</v>
      </c>
      <c r="J783" s="37"/>
    </row>
    <row r="784" spans="1:10" ht="23.1" customHeight="1">
      <c r="A784" s="26"/>
      <c r="B784" s="26"/>
      <c r="C784" s="26"/>
      <c r="D784" s="27" t="s">
        <v>1589</v>
      </c>
      <c r="E784" s="142" t="s">
        <v>1588</v>
      </c>
      <c r="F784" s="142"/>
      <c r="G784" s="27" t="s">
        <v>2151</v>
      </c>
      <c r="H784" s="34">
        <f>Tabung!F27+Kran!F56</f>
        <v>2235000</v>
      </c>
      <c r="I784" s="34">
        <f>Tabung!G27+Kran!G56</f>
        <v>2235000</v>
      </c>
      <c r="J784" s="37"/>
    </row>
    <row r="785" spans="1:10" ht="23.1" customHeight="1">
      <c r="A785" s="26"/>
      <c r="B785" s="26"/>
      <c r="C785" s="26"/>
      <c r="D785" s="27" t="s">
        <v>1591</v>
      </c>
      <c r="E785" s="142" t="s">
        <v>1590</v>
      </c>
      <c r="F785" s="142"/>
      <c r="G785" s="27" t="s">
        <v>2151</v>
      </c>
      <c r="H785" s="34">
        <f>Tabung!F27</f>
        <v>2200000</v>
      </c>
      <c r="I785" s="34">
        <f>Tabung!G27</f>
        <v>2200000</v>
      </c>
      <c r="J785" s="37"/>
    </row>
    <row r="786" spans="1:10" ht="23.1" customHeight="1">
      <c r="A786" s="26"/>
      <c r="B786" s="26"/>
      <c r="C786" s="26"/>
      <c r="D786" s="27" t="s">
        <v>1593</v>
      </c>
      <c r="E786" s="142" t="s">
        <v>1592</v>
      </c>
      <c r="F786" s="142"/>
      <c r="G786" s="27" t="s">
        <v>2151</v>
      </c>
      <c r="H786" s="34">
        <f>Tabung!F27+Kran!F56</f>
        <v>2235000</v>
      </c>
      <c r="I786" s="34">
        <f>Tabung!G27+Kran!G56</f>
        <v>2235000</v>
      </c>
      <c r="J786" s="37"/>
    </row>
    <row r="787" spans="1:10" ht="23.1" customHeight="1">
      <c r="A787" s="26"/>
      <c r="B787" s="26"/>
      <c r="C787" s="26"/>
      <c r="D787" s="27" t="s">
        <v>1595</v>
      </c>
      <c r="E787" s="142" t="s">
        <v>1594</v>
      </c>
      <c r="F787" s="142"/>
      <c r="G787" s="27" t="s">
        <v>2151</v>
      </c>
      <c r="H787" s="34">
        <f>Tabung!F27</f>
        <v>2200000</v>
      </c>
      <c r="I787" s="34">
        <f>Tabung!G27</f>
        <v>2200000</v>
      </c>
      <c r="J787" s="37"/>
    </row>
    <row r="788" spans="1:10" ht="23.1" customHeight="1">
      <c r="A788" s="26"/>
      <c r="B788" s="26"/>
      <c r="C788" s="26"/>
      <c r="D788" s="27" t="s">
        <v>1597</v>
      </c>
      <c r="E788" s="142" t="s">
        <v>1596</v>
      </c>
      <c r="F788" s="142"/>
      <c r="G788" s="27" t="s">
        <v>2151</v>
      </c>
      <c r="H788" s="34">
        <f>Tabung!F28+Kran!F31</f>
        <v>2837500</v>
      </c>
      <c r="I788" s="34">
        <f>Tabung!G28+Kran!G31</f>
        <v>2837500</v>
      </c>
      <c r="J788" s="37"/>
    </row>
    <row r="789" spans="1:10" ht="23.1" customHeight="1">
      <c r="A789" s="26"/>
      <c r="B789" s="26"/>
      <c r="C789" s="26"/>
      <c r="D789" s="27" t="s">
        <v>1607</v>
      </c>
      <c r="E789" s="142" t="s">
        <v>1606</v>
      </c>
      <c r="F789" s="142"/>
      <c r="G789" s="27" t="s">
        <v>2151</v>
      </c>
      <c r="H789" s="34">
        <f>Tabung!F28+Kran!F41</f>
        <v>2837500</v>
      </c>
      <c r="I789" s="34">
        <f>Tabung!G28+Kran!G41</f>
        <v>2837500</v>
      </c>
      <c r="J789" s="37"/>
    </row>
    <row r="790" spans="1:10" ht="23.1" customHeight="1">
      <c r="A790" s="26"/>
      <c r="B790" s="26"/>
      <c r="C790" s="26"/>
      <c r="D790" s="27" t="s">
        <v>1609</v>
      </c>
      <c r="E790" s="142" t="s">
        <v>1608</v>
      </c>
      <c r="F790" s="142"/>
      <c r="G790" s="27" t="s">
        <v>2151</v>
      </c>
      <c r="H790" s="34">
        <f>Tabung!F28+Kran!F34+Gas!D93</f>
        <v>2895000</v>
      </c>
      <c r="I790" s="34">
        <f>Tabung!G28+Kran!G34+Gas!E93</f>
        <v>2895000</v>
      </c>
      <c r="J790" s="37"/>
    </row>
    <row r="791" spans="1:10" ht="23.1" customHeight="1">
      <c r="A791" s="26"/>
      <c r="B791" s="26"/>
      <c r="C791" s="26"/>
      <c r="D791" s="27" t="s">
        <v>1611</v>
      </c>
      <c r="E791" s="142" t="s">
        <v>1610</v>
      </c>
      <c r="F791" s="142"/>
      <c r="G791" s="27" t="s">
        <v>2151</v>
      </c>
      <c r="H791" s="34">
        <f>Tabung!F28+Kran!F10+Kran!F57+Gas!D100</f>
        <v>3040000</v>
      </c>
      <c r="I791" s="34">
        <f>Tabung!G28+Kran!G10+Kran!G57+Gas!E100</f>
        <v>3085000</v>
      </c>
      <c r="J791" s="37"/>
    </row>
    <row r="792" spans="1:10" ht="23.1" customHeight="1">
      <c r="A792" s="26"/>
      <c r="B792" s="26"/>
      <c r="C792" s="26"/>
      <c r="D792" s="27" t="s">
        <v>1613</v>
      </c>
      <c r="E792" s="142" t="s">
        <v>1612</v>
      </c>
      <c r="F792" s="142"/>
      <c r="G792" s="27" t="s">
        <v>2151</v>
      </c>
      <c r="H792" s="34">
        <f>Tabung!F28+Kran!F31</f>
        <v>2837500</v>
      </c>
      <c r="I792" s="34">
        <f>Tabung!G28+Kran!G31</f>
        <v>2837500</v>
      </c>
      <c r="J792" s="37"/>
    </row>
    <row r="793" spans="1:10" ht="23.1" customHeight="1">
      <c r="A793" s="26"/>
      <c r="B793" s="26"/>
      <c r="C793" s="26"/>
      <c r="D793" s="27" t="s">
        <v>1615</v>
      </c>
      <c r="E793" s="142" t="s">
        <v>1614</v>
      </c>
      <c r="F793" s="142"/>
      <c r="G793" s="27" t="s">
        <v>2151</v>
      </c>
      <c r="H793" s="34"/>
      <c r="I793" s="34" t="e">
        <f>Tabung!G28+Kran!G41+Gas!#REF!</f>
        <v>#REF!</v>
      </c>
      <c r="J793" s="37"/>
    </row>
    <row r="794" spans="1:10" ht="23.1" customHeight="1">
      <c r="A794" s="26"/>
      <c r="B794" s="26"/>
      <c r="C794" s="26"/>
      <c r="D794" s="27" t="s">
        <v>1617</v>
      </c>
      <c r="E794" s="142" t="s">
        <v>1616</v>
      </c>
      <c r="F794" s="142"/>
      <c r="G794" s="27" t="s">
        <v>2151</v>
      </c>
      <c r="H794" s="34">
        <f>Tabung!F28+Kran!F34</f>
        <v>2895000</v>
      </c>
      <c r="I794" s="34">
        <f>Tabung!G28+Kran!G34</f>
        <v>2895000</v>
      </c>
      <c r="J794" s="37"/>
    </row>
    <row r="795" spans="1:10" ht="23.1" customHeight="1">
      <c r="A795" s="26"/>
      <c r="B795" s="26"/>
      <c r="C795" s="26"/>
      <c r="D795" s="27" t="s">
        <v>1619</v>
      </c>
      <c r="E795" s="142" t="s">
        <v>1618</v>
      </c>
      <c r="F795" s="142"/>
      <c r="G795" s="27" t="s">
        <v>2151</v>
      </c>
      <c r="H795" s="34">
        <f>Tabung!F28</f>
        <v>2750000</v>
      </c>
      <c r="I795" s="34">
        <f>Tabung!G28</f>
        <v>2750000</v>
      </c>
      <c r="J795" s="37"/>
    </row>
    <row r="796" spans="1:10" ht="23.1" customHeight="1">
      <c r="A796" s="26"/>
      <c r="B796" s="26"/>
      <c r="C796" s="26"/>
      <c r="D796" s="27" t="s">
        <v>1621</v>
      </c>
      <c r="E796" s="142" t="s">
        <v>1620</v>
      </c>
      <c r="F796" s="142"/>
      <c r="G796" s="27" t="s">
        <v>2151</v>
      </c>
      <c r="H796" s="34">
        <f>Tabung!F28+Kran!F31+Gas!D47</f>
        <v>3197500</v>
      </c>
      <c r="I796" s="34">
        <f>Tabung!G28+Kran!G31+Gas!E47</f>
        <v>3197500</v>
      </c>
      <c r="J796" s="37"/>
    </row>
    <row r="797" spans="1:10" ht="23.1" customHeight="1">
      <c r="A797" s="26"/>
      <c r="B797" s="26"/>
      <c r="C797" s="26"/>
      <c r="D797" s="27" t="s">
        <v>1643</v>
      </c>
      <c r="E797" s="142" t="s">
        <v>1642</v>
      </c>
      <c r="F797" s="142"/>
      <c r="G797" s="27" t="s">
        <v>2151</v>
      </c>
      <c r="H797" s="34">
        <f>Tabung!F31+Gas!D81</f>
        <v>550000</v>
      </c>
      <c r="I797" s="34">
        <f>Tabung!G31+Gas!E81</f>
        <v>550000</v>
      </c>
      <c r="J797" s="37"/>
    </row>
    <row r="798" spans="1:10" ht="23.1" customHeight="1">
      <c r="A798" s="26"/>
      <c r="B798" s="26"/>
      <c r="C798" s="26"/>
      <c r="D798" s="27" t="s">
        <v>1649</v>
      </c>
      <c r="E798" s="142" t="s">
        <v>1648</v>
      </c>
      <c r="F798" s="142"/>
      <c r="G798" s="27" t="s">
        <v>2151</v>
      </c>
      <c r="H798" s="34">
        <f>Tabung!F31+Gas!D34</f>
        <v>715000</v>
      </c>
      <c r="I798" s="34">
        <f>Tabung!G31+Gas!E34</f>
        <v>715000</v>
      </c>
      <c r="J798" s="37"/>
    </row>
    <row r="799" spans="1:10" ht="23.1" customHeight="1">
      <c r="A799" s="26"/>
      <c r="B799" s="26"/>
      <c r="C799" s="26"/>
      <c r="D799" s="27" t="s">
        <v>1651</v>
      </c>
      <c r="E799" s="142" t="s">
        <v>1650</v>
      </c>
      <c r="F799" s="142"/>
      <c r="G799" s="27" t="s">
        <v>2151</v>
      </c>
      <c r="H799" s="34">
        <f>Tabung!F31+Gas!D35</f>
        <v>1065000</v>
      </c>
      <c r="I799" s="34">
        <f>Tabung!G31+Gas!E35</f>
        <v>1050000</v>
      </c>
      <c r="J799" s="37"/>
    </row>
    <row r="800" spans="1:10" ht="23.1" customHeight="1">
      <c r="A800" s="26"/>
      <c r="B800" s="26"/>
      <c r="C800" s="26"/>
      <c r="D800" s="27" t="s">
        <v>1653</v>
      </c>
      <c r="E800" s="142" t="s">
        <v>1652</v>
      </c>
      <c r="F800" s="142"/>
      <c r="G800" s="27" t="s">
        <v>2151</v>
      </c>
      <c r="H800" s="34">
        <f>Tabung!F31+Gas!D33</f>
        <v>655000</v>
      </c>
      <c r="I800" s="34">
        <f>Tabung!G31+Gas!E33</f>
        <v>690000</v>
      </c>
      <c r="J800" s="37"/>
    </row>
    <row r="801" spans="1:10" ht="23.1" customHeight="1">
      <c r="A801" s="26"/>
      <c r="B801" s="26"/>
      <c r="C801" s="26"/>
      <c r="D801" s="27" t="s">
        <v>1655</v>
      </c>
      <c r="E801" s="142" t="s">
        <v>1654</v>
      </c>
      <c r="F801" s="142"/>
      <c r="G801" s="27" t="s">
        <v>2151</v>
      </c>
      <c r="H801" s="34">
        <f>Tabung!F31</f>
        <v>550000</v>
      </c>
      <c r="I801" s="34">
        <f>Tabung!G31</f>
        <v>550000</v>
      </c>
      <c r="J801" s="37"/>
    </row>
    <row r="802" spans="1:10" ht="23.1" customHeight="1">
      <c r="A802" s="26"/>
      <c r="B802" s="26"/>
      <c r="C802" s="26"/>
      <c r="D802" s="27" t="s">
        <v>1657</v>
      </c>
      <c r="E802" s="142" t="s">
        <v>1656</v>
      </c>
      <c r="F802" s="142"/>
      <c r="G802" s="27" t="s">
        <v>2151</v>
      </c>
      <c r="H802" s="34">
        <f>Tabung!F31+Kran!F54</f>
        <v>500000</v>
      </c>
      <c r="I802" s="34">
        <f>Tabung!G31+Kran!G54</f>
        <v>500000</v>
      </c>
      <c r="J802" s="37"/>
    </row>
    <row r="803" spans="1:10" ht="23.1" customHeight="1">
      <c r="A803" s="26"/>
      <c r="B803" s="26"/>
      <c r="C803" s="26"/>
      <c r="D803" s="27" t="s">
        <v>1669</v>
      </c>
      <c r="E803" s="142" t="s">
        <v>1668</v>
      </c>
      <c r="F803" s="142"/>
      <c r="G803" s="27" t="s">
        <v>2151</v>
      </c>
      <c r="H803" s="34">
        <f>Tabung!F33+Gas!D36</f>
        <v>1340000</v>
      </c>
      <c r="I803" s="34">
        <f>Tabung!G33+Gas!E36</f>
        <v>1350000</v>
      </c>
      <c r="J803" s="37"/>
    </row>
    <row r="804" spans="1:10" ht="23.1" customHeight="1">
      <c r="A804" s="26"/>
      <c r="B804" s="26"/>
      <c r="C804" s="26"/>
      <c r="D804" s="27" t="s">
        <v>1677</v>
      </c>
      <c r="E804" s="142" t="s">
        <v>1676</v>
      </c>
      <c r="F804" s="142"/>
      <c r="G804" s="27" t="s">
        <v>2151</v>
      </c>
      <c r="H804" s="34">
        <f>Tabung!F33+Kran!F55+Gas!D122</f>
        <v>3275000</v>
      </c>
      <c r="I804" s="34">
        <f>Tabung!G33+Kran!G55+Gas!E122</f>
        <v>3275000</v>
      </c>
      <c r="J804" s="37"/>
    </row>
    <row r="805" spans="1:10" ht="23.1" customHeight="1">
      <c r="A805" s="26"/>
      <c r="B805" s="26"/>
      <c r="C805" s="26"/>
      <c r="D805" s="27" t="s">
        <v>1679</v>
      </c>
      <c r="E805" s="142" t="s">
        <v>1678</v>
      </c>
      <c r="F805" s="142"/>
      <c r="G805" s="27" t="s">
        <v>2151</v>
      </c>
      <c r="H805" s="34">
        <f>Tabung!F33</f>
        <v>1200000</v>
      </c>
      <c r="I805" s="34">
        <f>Tabung!G33</f>
        <v>1200000</v>
      </c>
      <c r="J805" s="37"/>
    </row>
    <row r="806" spans="1:10" ht="23.1" customHeight="1">
      <c r="A806" s="26"/>
      <c r="B806" s="26"/>
      <c r="C806" s="26"/>
      <c r="D806" s="27" t="s">
        <v>1685</v>
      </c>
      <c r="E806" s="142" t="s">
        <v>1684</v>
      </c>
      <c r="F806" s="142"/>
      <c r="G806" s="27" t="s">
        <v>2151</v>
      </c>
      <c r="H806" s="34">
        <f>Tabung!F35+Kran!F55</f>
        <v>1035000</v>
      </c>
      <c r="I806" s="34">
        <f>Tabung!G35+Kran!G55</f>
        <v>1060000</v>
      </c>
      <c r="J806" s="37"/>
    </row>
    <row r="807" spans="1:10" ht="18.75" customHeight="1">
      <c r="A807" s="26"/>
      <c r="B807" s="26"/>
      <c r="C807" s="26"/>
      <c r="D807" s="27" t="s">
        <v>1687</v>
      </c>
      <c r="E807" s="142" t="s">
        <v>1686</v>
      </c>
      <c r="F807" s="142"/>
      <c r="G807" s="27" t="s">
        <v>2151</v>
      </c>
      <c r="H807" s="34">
        <f>Tabung!F35+Kran!F54</f>
        <v>950000</v>
      </c>
      <c r="I807" s="34">
        <f>Tabung!G35+Kran!G54</f>
        <v>975000</v>
      </c>
      <c r="J807" s="37"/>
    </row>
    <row r="808" spans="1:10" ht="23.1" customHeight="1">
      <c r="A808" s="26"/>
      <c r="B808" s="26"/>
      <c r="C808" s="26"/>
      <c r="D808" s="27" t="s">
        <v>1689</v>
      </c>
      <c r="E808" s="142" t="s">
        <v>1688</v>
      </c>
      <c r="F808" s="142"/>
      <c r="G808" s="27" t="s">
        <v>2151</v>
      </c>
      <c r="H808" s="34">
        <f>Tabung!F35</f>
        <v>1000000</v>
      </c>
      <c r="I808" s="34">
        <f>Tabung!G35</f>
        <v>1025000</v>
      </c>
      <c r="J808" s="37"/>
    </row>
    <row r="809" spans="1:10" ht="23.1" customHeight="1">
      <c r="A809" s="26"/>
      <c r="B809" s="26"/>
      <c r="C809" s="26"/>
      <c r="D809" s="27" t="s">
        <v>1693</v>
      </c>
      <c r="E809" s="142" t="s">
        <v>1692</v>
      </c>
      <c r="F809" s="142"/>
      <c r="G809" s="27" t="s">
        <v>2151</v>
      </c>
      <c r="H809" s="34">
        <f>Tabung!F36+Gas!D37</f>
        <v>1040000</v>
      </c>
      <c r="I809" s="34">
        <f>Tabung!G36+Gas!E37</f>
        <v>1070000</v>
      </c>
      <c r="J809" s="37"/>
    </row>
    <row r="810" spans="1:10" ht="23.1" customHeight="1">
      <c r="A810" s="26"/>
      <c r="B810" s="26"/>
      <c r="C810" s="26"/>
      <c r="D810" s="27" t="s">
        <v>1695</v>
      </c>
      <c r="E810" s="142" t="s">
        <v>1694</v>
      </c>
      <c r="F810" s="142"/>
      <c r="G810" s="27" t="s">
        <v>2151</v>
      </c>
      <c r="H810" s="34">
        <f>Tabung!F36+Kran!F55+Gas!D66</f>
        <v>1036250</v>
      </c>
      <c r="I810" s="34">
        <f>Tabung!G36+Kran!G55+Gas!E66</f>
        <v>1055000</v>
      </c>
      <c r="J810" s="37"/>
    </row>
    <row r="811" spans="1:10" ht="23.1" customHeight="1">
      <c r="A811" s="26"/>
      <c r="B811" s="26"/>
      <c r="C811" s="26"/>
      <c r="D811" s="27" t="s">
        <v>1699</v>
      </c>
      <c r="E811" s="142" t="s">
        <v>1698</v>
      </c>
      <c r="F811" s="142"/>
      <c r="G811" s="27" t="s">
        <v>2151</v>
      </c>
      <c r="H811" s="34">
        <f>Tabung!F36+Kran!F55+Gas!D69</f>
        <v>1103750</v>
      </c>
      <c r="I811" s="34">
        <f>Tabung!G36+Kran!G55+Gas!E69</f>
        <v>1097500</v>
      </c>
      <c r="J811" s="37"/>
    </row>
    <row r="812" spans="1:10" ht="23.1" customHeight="1">
      <c r="A812" s="26"/>
      <c r="B812" s="26"/>
      <c r="C812" s="26"/>
      <c r="D812" s="27" t="s">
        <v>1703</v>
      </c>
      <c r="E812" s="142" t="s">
        <v>1702</v>
      </c>
      <c r="F812" s="142"/>
      <c r="G812" s="27" t="s">
        <v>2151</v>
      </c>
      <c r="H812" s="34">
        <f>Tabung!F36+Kran!F57</f>
        <v>965000</v>
      </c>
      <c r="I812" s="34">
        <f>Tabung!G36+Kran!G57</f>
        <v>965000</v>
      </c>
      <c r="J812" s="37"/>
    </row>
    <row r="813" spans="1:10" ht="23.1" customHeight="1">
      <c r="A813" s="26"/>
      <c r="B813" s="26"/>
      <c r="C813" s="26"/>
      <c r="D813" s="27" t="s">
        <v>1705</v>
      </c>
      <c r="E813" s="142" t="s">
        <v>1704</v>
      </c>
      <c r="F813" s="142"/>
      <c r="G813" s="27" t="s">
        <v>2151</v>
      </c>
      <c r="H813" s="34">
        <f>Tabung!F36+Kran!F56</f>
        <v>935000</v>
      </c>
      <c r="I813" s="34">
        <f>Tabung!G36+Kran!G56</f>
        <v>935000</v>
      </c>
      <c r="J813" s="37"/>
    </row>
    <row r="814" spans="1:10" ht="23.1" customHeight="1">
      <c r="A814" s="26"/>
      <c r="B814" s="26"/>
      <c r="C814" s="26"/>
      <c r="D814" s="27" t="s">
        <v>1707</v>
      </c>
      <c r="E814" s="142" t="s">
        <v>1706</v>
      </c>
      <c r="F814" s="142"/>
      <c r="G814" s="27" t="s">
        <v>2151</v>
      </c>
      <c r="H814" s="34">
        <f>Tabung!F36+Kran!F55+Gas!D72</f>
        <v>1070000</v>
      </c>
      <c r="I814" s="34">
        <f>Tabung!G36+Kran!G55+Gas!E72</f>
        <v>1075000</v>
      </c>
      <c r="J814" s="37"/>
    </row>
    <row r="815" spans="1:10" ht="23.1" customHeight="1">
      <c r="A815" s="26"/>
      <c r="B815" s="26"/>
      <c r="C815" s="26"/>
      <c r="D815" s="27" t="s">
        <v>1711</v>
      </c>
      <c r="E815" s="142" t="s">
        <v>1710</v>
      </c>
      <c r="F815" s="142"/>
      <c r="G815" s="27" t="s">
        <v>2151</v>
      </c>
      <c r="H815" s="34">
        <f>Tabung!F36+Gas!D39</f>
        <v>1145000</v>
      </c>
      <c r="I815" s="34">
        <f>Tabung!G36+Gas!E39</f>
        <v>1145000</v>
      </c>
      <c r="J815" s="37"/>
    </row>
    <row r="816" spans="1:10" ht="23.1" customHeight="1">
      <c r="A816" s="26"/>
      <c r="B816" s="26"/>
      <c r="C816" s="26"/>
      <c r="D816" s="27" t="s">
        <v>1713</v>
      </c>
      <c r="E816" s="142" t="s">
        <v>1712</v>
      </c>
      <c r="F816" s="142"/>
      <c r="G816" s="27" t="s">
        <v>2151</v>
      </c>
      <c r="H816" s="34">
        <f>Tabung!F36+Gas!D40</f>
        <v>1310000</v>
      </c>
      <c r="I816" s="34">
        <f>Tabung!G36+Gas!E40</f>
        <v>1310000</v>
      </c>
      <c r="J816" s="37"/>
    </row>
    <row r="817" spans="1:10" ht="23.1" customHeight="1">
      <c r="A817" s="26"/>
      <c r="B817" s="26"/>
      <c r="C817" s="26"/>
      <c r="D817" s="27" t="s">
        <v>1715</v>
      </c>
      <c r="E817" s="142" t="s">
        <v>1714</v>
      </c>
      <c r="F817" s="142"/>
      <c r="G817" s="27" t="s">
        <v>2151</v>
      </c>
      <c r="H817" s="34">
        <f>Tabung!F36+Gas!D37</f>
        <v>1040000</v>
      </c>
      <c r="I817" s="34">
        <f>Tabung!G36+Gas!E37</f>
        <v>1070000</v>
      </c>
      <c r="J817" s="37"/>
    </row>
    <row r="818" spans="1:10" ht="23.1" customHeight="1">
      <c r="A818" s="26"/>
      <c r="B818" s="26"/>
      <c r="C818" s="26"/>
      <c r="D818" s="27" t="s">
        <v>1745</v>
      </c>
      <c r="E818" s="142" t="s">
        <v>1744</v>
      </c>
      <c r="F818" s="142"/>
      <c r="G818" s="27" t="s">
        <v>2151</v>
      </c>
      <c r="H818" s="34">
        <f>Tabung!F36</f>
        <v>900000</v>
      </c>
      <c r="I818" s="34">
        <f>Tabung!G36</f>
        <v>900000</v>
      </c>
      <c r="J818" s="37"/>
    </row>
    <row r="819" spans="1:10" ht="23.1" customHeight="1">
      <c r="A819" s="26"/>
      <c r="B819" s="26"/>
      <c r="C819" s="26"/>
      <c r="D819" s="27" t="s">
        <v>1747</v>
      </c>
      <c r="E819" s="142" t="s">
        <v>1746</v>
      </c>
      <c r="F819" s="142"/>
      <c r="G819" s="27" t="s">
        <v>2151</v>
      </c>
      <c r="H819" s="34">
        <f>Tabung!F36+Kran!F54</f>
        <v>850000</v>
      </c>
      <c r="I819" s="34">
        <f>Tabung!G36+Kran!G54</f>
        <v>850000</v>
      </c>
      <c r="J819" s="37"/>
    </row>
    <row r="820" spans="1:10" ht="23.1" customHeight="1">
      <c r="A820" s="26"/>
      <c r="B820" s="26"/>
      <c r="C820" s="26"/>
      <c r="D820" s="27" t="s">
        <v>1719</v>
      </c>
      <c r="E820" s="142" t="s">
        <v>1718</v>
      </c>
      <c r="F820" s="142"/>
      <c r="G820" s="27" t="s">
        <v>2151</v>
      </c>
      <c r="H820" s="34">
        <f>Tabung!F36</f>
        <v>900000</v>
      </c>
      <c r="I820" s="34">
        <f>Tabung!G36</f>
        <v>900000</v>
      </c>
      <c r="J820" s="37"/>
    </row>
    <row r="821" spans="1:10" ht="23.1" customHeight="1">
      <c r="A821" s="26"/>
      <c r="B821" s="26"/>
      <c r="C821" s="26"/>
      <c r="D821" s="27" t="s">
        <v>1721</v>
      </c>
      <c r="E821" s="142" t="s">
        <v>1720</v>
      </c>
      <c r="F821" s="142"/>
      <c r="G821" s="27" t="s">
        <v>2151</v>
      </c>
      <c r="H821" s="34">
        <f>Tabung!F37+Gas!D37</f>
        <v>1040000</v>
      </c>
      <c r="I821" s="34">
        <f>Tabung!G37+Gas!E37</f>
        <v>1070000</v>
      </c>
      <c r="J821" s="37"/>
    </row>
    <row r="822" spans="1:10" ht="23.1" customHeight="1">
      <c r="A822" s="26"/>
      <c r="B822" s="26"/>
      <c r="C822" s="26"/>
      <c r="D822" s="27" t="s">
        <v>1723</v>
      </c>
      <c r="E822" s="142" t="s">
        <v>1722</v>
      </c>
      <c r="F822" s="142"/>
      <c r="G822" s="27" t="s">
        <v>2151</v>
      </c>
      <c r="H822" s="34">
        <f>Tabung!F37</f>
        <v>900000</v>
      </c>
      <c r="I822" s="34">
        <f>Tabung!G37</f>
        <v>900000</v>
      </c>
      <c r="J822" s="37"/>
    </row>
    <row r="823" spans="1:10" ht="23.1" customHeight="1">
      <c r="A823" s="26"/>
      <c r="B823" s="26"/>
      <c r="C823" s="26"/>
      <c r="D823" s="27" t="s">
        <v>1725</v>
      </c>
      <c r="E823" s="142" t="s">
        <v>1724</v>
      </c>
      <c r="F823" s="142"/>
      <c r="G823" s="27" t="s">
        <v>2151</v>
      </c>
      <c r="H823" s="34">
        <f>Tabung!F36+Gas!D142</f>
        <v>950000</v>
      </c>
      <c r="I823" s="34">
        <f>Tabung!G36+Gas!E142</f>
        <v>1035000</v>
      </c>
      <c r="J823" s="37"/>
    </row>
    <row r="824" spans="1:10" ht="23.1" customHeight="1">
      <c r="A824" s="26"/>
      <c r="B824" s="26"/>
      <c r="C824" s="26"/>
      <c r="D824" s="27" t="s">
        <v>1727</v>
      </c>
      <c r="E824" s="142" t="s">
        <v>1726</v>
      </c>
      <c r="F824" s="142"/>
      <c r="G824" s="27" t="s">
        <v>2151</v>
      </c>
      <c r="H824" s="34">
        <f>Tabung!F36+Kran!F57+Gas!D102</f>
        <v>1615000</v>
      </c>
      <c r="I824" s="34">
        <f>Tabung!G36+Kran!G57+Gas!E102</f>
        <v>1615000</v>
      </c>
      <c r="J824" s="37"/>
    </row>
    <row r="825" spans="1:10" ht="23.1" customHeight="1">
      <c r="A825" s="26"/>
      <c r="B825" s="26"/>
      <c r="C825" s="26"/>
      <c r="D825" s="27" t="s">
        <v>1729</v>
      </c>
      <c r="E825" s="142" t="s">
        <v>1728</v>
      </c>
      <c r="F825" s="142"/>
      <c r="G825" s="27" t="s">
        <v>2151</v>
      </c>
      <c r="H825" s="34">
        <f>Tabung!F36+Kran!F57+Gas!D100</f>
        <v>1140000</v>
      </c>
      <c r="I825" s="34">
        <f>Tabung!G36+Kran!G57+Gas!E100</f>
        <v>1185000</v>
      </c>
      <c r="J825" s="37"/>
    </row>
    <row r="826" spans="1:10" ht="23.1" customHeight="1">
      <c r="A826" s="26"/>
      <c r="B826" s="26"/>
      <c r="C826" s="26"/>
      <c r="D826" s="27" t="s">
        <v>1731</v>
      </c>
      <c r="E826" s="142" t="s">
        <v>1730</v>
      </c>
      <c r="F826" s="142"/>
      <c r="G826" s="27" t="s">
        <v>2151</v>
      </c>
      <c r="H826" s="34">
        <f>Tabung!F36+Kran!F54</f>
        <v>850000</v>
      </c>
      <c r="I826" s="34">
        <f>Tabung!G36+Kran!G54</f>
        <v>850000</v>
      </c>
      <c r="J826" s="37"/>
    </row>
    <row r="827" spans="1:10" ht="23.1" customHeight="1">
      <c r="A827" s="26"/>
      <c r="B827" s="26"/>
      <c r="C827" s="26"/>
      <c r="D827" s="27" t="s">
        <v>1733</v>
      </c>
      <c r="E827" s="142" t="s">
        <v>1732</v>
      </c>
      <c r="F827" s="142"/>
      <c r="G827" s="27" t="s">
        <v>2151</v>
      </c>
      <c r="H827" s="34">
        <f>Tabung!F36+Kran!F57+Gas!D101</f>
        <v>1440000</v>
      </c>
      <c r="I827" s="34">
        <f>Tabung!G36+Kran!G57+Gas!E101</f>
        <v>1325000</v>
      </c>
      <c r="J827" s="44"/>
    </row>
    <row r="828" spans="1:10" ht="23.1" customHeight="1">
      <c r="A828" s="26"/>
      <c r="B828" s="26"/>
      <c r="C828" s="26"/>
      <c r="D828" s="27" t="s">
        <v>2168</v>
      </c>
      <c r="E828" s="142" t="s">
        <v>2167</v>
      </c>
      <c r="F828" s="142"/>
      <c r="G828" s="27" t="s">
        <v>2151</v>
      </c>
      <c r="H828" s="34">
        <f>Tabung!F27+Kran!F31</f>
        <v>2287500</v>
      </c>
      <c r="I828" s="34">
        <f>Tabung!G27+Kran!G31</f>
        <v>2287500</v>
      </c>
      <c r="J828" s="37"/>
    </row>
    <row r="829" spans="1:10" ht="23.1" customHeight="1">
      <c r="A829" s="26"/>
      <c r="B829" s="26"/>
      <c r="C829" s="26"/>
      <c r="D829" s="27" t="s">
        <v>1735</v>
      </c>
      <c r="E829" s="142" t="s">
        <v>1734</v>
      </c>
      <c r="F829" s="142"/>
      <c r="G829" s="27" t="s">
        <v>2151</v>
      </c>
      <c r="H829" s="34">
        <f>Tabung!F36+Kran!F57+Gas!D102</f>
        <v>1615000</v>
      </c>
      <c r="I829" s="34">
        <f>Tabung!G36+Kran!G57+Gas!E102</f>
        <v>1615000</v>
      </c>
      <c r="J829" s="37"/>
    </row>
    <row r="830" spans="1:10" ht="18" customHeight="1">
      <c r="A830" s="26"/>
      <c r="B830" s="26"/>
      <c r="C830" s="26"/>
      <c r="D830" s="27" t="s">
        <v>1737</v>
      </c>
      <c r="E830" s="142" t="s">
        <v>1736</v>
      </c>
      <c r="F830" s="142"/>
      <c r="G830" s="27" t="s">
        <v>2151</v>
      </c>
      <c r="H830" s="34">
        <f>Tabung!F36+Kran!F57+Gas!D97</f>
        <v>1090000</v>
      </c>
      <c r="I830" s="34">
        <f>Tabung!G36+Kran!G57+Gas!E97</f>
        <v>1115000</v>
      </c>
      <c r="J830" s="37"/>
    </row>
    <row r="831" spans="1:10" ht="23.1" customHeight="1">
      <c r="A831" s="26"/>
      <c r="B831" s="26"/>
      <c r="C831" s="26"/>
      <c r="D831" s="27" t="s">
        <v>1739</v>
      </c>
      <c r="E831" s="142" t="s">
        <v>1738</v>
      </c>
      <c r="F831" s="142"/>
      <c r="G831" s="27" t="s">
        <v>2151</v>
      </c>
      <c r="H831" s="34">
        <f>Tabung!F36+Kran!F57</f>
        <v>965000</v>
      </c>
      <c r="I831" s="34">
        <f>Tabung!G36+Kran!G57</f>
        <v>965000</v>
      </c>
      <c r="J831" s="37"/>
    </row>
    <row r="832" spans="1:10" ht="23.1" customHeight="1">
      <c r="A832" s="26"/>
      <c r="B832" s="26"/>
      <c r="C832" s="26"/>
      <c r="D832" s="27" t="s">
        <v>1741</v>
      </c>
      <c r="E832" s="142" t="s">
        <v>1740</v>
      </c>
      <c r="F832" s="142"/>
      <c r="G832" s="27" t="s">
        <v>2151</v>
      </c>
      <c r="H832" s="34">
        <f>Tabung!F36+Kran!F55</f>
        <v>935000</v>
      </c>
      <c r="I832" s="34">
        <f>Tabung!G36+Kran!G55</f>
        <v>935000</v>
      </c>
      <c r="J832" s="37"/>
    </row>
    <row r="833" spans="1:10" ht="23.1" customHeight="1">
      <c r="A833" s="26"/>
      <c r="B833" s="26"/>
      <c r="C833" s="26"/>
      <c r="D833" s="27" t="s">
        <v>1743</v>
      </c>
      <c r="E833" s="142" t="s">
        <v>1742</v>
      </c>
      <c r="F833" s="142"/>
      <c r="G833" s="27" t="s">
        <v>2151</v>
      </c>
      <c r="H833" s="34">
        <f>Tabung!F37</f>
        <v>900000</v>
      </c>
      <c r="I833" s="34">
        <f>Tabung!G37</f>
        <v>900000</v>
      </c>
      <c r="J833" s="37"/>
    </row>
    <row r="834" spans="1:10" ht="23.1" customHeight="1">
      <c r="A834" s="26"/>
      <c r="B834" s="26"/>
      <c r="C834" s="26"/>
      <c r="D834" s="27" t="s">
        <v>1749</v>
      </c>
      <c r="E834" s="142" t="s">
        <v>1748</v>
      </c>
      <c r="F834" s="142"/>
      <c r="G834" s="27" t="s">
        <v>2151</v>
      </c>
      <c r="H834" s="34">
        <f>Tabung!F36+Kran!F55</f>
        <v>935000</v>
      </c>
      <c r="I834" s="34">
        <f>Tabung!G36+Kran!G55</f>
        <v>935000</v>
      </c>
      <c r="J834" s="37"/>
    </row>
    <row r="835" spans="1:10" ht="23.1" customHeight="1">
      <c r="A835" s="26"/>
      <c r="B835" s="26"/>
      <c r="C835" s="26"/>
      <c r="D835" s="27" t="s">
        <v>1751</v>
      </c>
      <c r="E835" s="142" t="s">
        <v>1750</v>
      </c>
      <c r="F835" s="142"/>
      <c r="G835" s="27" t="s">
        <v>2151</v>
      </c>
      <c r="H835" s="34">
        <f>Tabung!F36+Kran!F55+Gas!D123</f>
        <v>3185000</v>
      </c>
      <c r="I835" s="34">
        <f>Tabung!G36+Kran!G55+Gas!E123</f>
        <v>3185000</v>
      </c>
      <c r="J835" s="37"/>
    </row>
    <row r="836" spans="1:10" ht="23.1" customHeight="1">
      <c r="A836" s="26"/>
      <c r="B836" s="26"/>
      <c r="C836" s="26"/>
      <c r="D836" s="27" t="s">
        <v>1753</v>
      </c>
      <c r="E836" s="142" t="s">
        <v>1752</v>
      </c>
      <c r="F836" s="142"/>
      <c r="G836" s="27" t="s">
        <v>2151</v>
      </c>
      <c r="H836" s="34">
        <f>Tabung!F36+Gas!D39</f>
        <v>1145000</v>
      </c>
      <c r="I836" s="34">
        <f>Tabung!G36+Gas!E39</f>
        <v>1145000</v>
      </c>
      <c r="J836" s="37"/>
    </row>
    <row r="837" spans="1:10" ht="23.1" customHeight="1">
      <c r="A837" s="26"/>
      <c r="B837" s="26"/>
      <c r="C837" s="26"/>
      <c r="D837" s="27" t="s">
        <v>1755</v>
      </c>
      <c r="E837" s="142" t="s">
        <v>1754</v>
      </c>
      <c r="F837" s="142"/>
      <c r="G837" s="27" t="s">
        <v>2151</v>
      </c>
      <c r="H837" s="34">
        <f>Tabung!F36+Gas!D40</f>
        <v>1310000</v>
      </c>
      <c r="I837" s="34">
        <f>Tabung!G36+Gas!E40</f>
        <v>1310000</v>
      </c>
      <c r="J837" s="37"/>
    </row>
    <row r="838" spans="1:10" ht="23.1" customHeight="1">
      <c r="A838" s="26"/>
      <c r="B838" s="26"/>
      <c r="C838" s="26"/>
      <c r="D838" s="27" t="s">
        <v>1757</v>
      </c>
      <c r="E838" s="142" t="s">
        <v>1756</v>
      </c>
      <c r="F838" s="142"/>
      <c r="G838" s="27" t="s">
        <v>2151</v>
      </c>
      <c r="H838" s="34">
        <f>Tabung!F36+Gas!D37</f>
        <v>1040000</v>
      </c>
      <c r="I838" s="34">
        <f>Tabung!G36+Gas!E37</f>
        <v>1070000</v>
      </c>
      <c r="J838" s="37"/>
    </row>
    <row r="839" spans="1:10" ht="23.1" customHeight="1">
      <c r="A839" s="26"/>
      <c r="B839" s="26"/>
      <c r="C839" s="26"/>
      <c r="D839" s="27" t="s">
        <v>1759</v>
      </c>
      <c r="E839" s="142" t="s">
        <v>1758</v>
      </c>
      <c r="F839" s="142"/>
      <c r="G839" s="27" t="s">
        <v>2151</v>
      </c>
      <c r="H839" s="34">
        <f>Tabung!F36+Gas!D82</f>
        <v>6900000</v>
      </c>
      <c r="I839" s="34">
        <f>Tabung!G36+Gas!E82</f>
        <v>900000</v>
      </c>
      <c r="J839" s="37"/>
    </row>
    <row r="840" spans="1:10" ht="23.1" customHeight="1">
      <c r="A840" s="26"/>
      <c r="B840" s="26"/>
      <c r="C840" s="26"/>
      <c r="D840" s="27" t="s">
        <v>1787</v>
      </c>
      <c r="E840" s="142" t="s">
        <v>1786</v>
      </c>
      <c r="F840" s="142"/>
      <c r="G840" s="27" t="s">
        <v>2151</v>
      </c>
      <c r="H840" s="34">
        <f>Tabung!F41+Kran!F57+Gas!D103</f>
        <v>1515000</v>
      </c>
      <c r="I840" s="34">
        <f>Tabung!G41+Kran!G57+Gas!E103</f>
        <v>1540000</v>
      </c>
      <c r="J840" s="37"/>
    </row>
    <row r="841" spans="1:10" ht="23.1" customHeight="1">
      <c r="A841" s="26"/>
      <c r="B841" s="26"/>
      <c r="C841" s="26"/>
      <c r="D841" s="27" t="s">
        <v>1789</v>
      </c>
      <c r="E841" s="142" t="s">
        <v>1788</v>
      </c>
      <c r="F841" s="142"/>
      <c r="G841" s="27" t="s">
        <v>2151</v>
      </c>
      <c r="H841" s="34">
        <f>Tabung!F41+Kran!F54</f>
        <v>1200000</v>
      </c>
      <c r="I841" s="34">
        <f>Tabung!G41+Kran!G54</f>
        <v>1200000</v>
      </c>
      <c r="J841" s="37"/>
    </row>
    <row r="842" spans="1:10" ht="23.1" customHeight="1">
      <c r="A842" s="26"/>
      <c r="B842" s="26"/>
      <c r="C842" s="26"/>
      <c r="D842" s="27" t="s">
        <v>1761</v>
      </c>
      <c r="E842" s="142" t="s">
        <v>1760</v>
      </c>
      <c r="F842" s="142"/>
      <c r="G842" s="27" t="s">
        <v>2151</v>
      </c>
      <c r="H842" s="34">
        <f>Tabung!F36</f>
        <v>900000</v>
      </c>
      <c r="I842" s="34">
        <f>Tabung!G36</f>
        <v>900000</v>
      </c>
      <c r="J842" s="37"/>
    </row>
    <row r="843" spans="1:10" ht="23.1" customHeight="1">
      <c r="A843" s="26"/>
      <c r="B843" s="26"/>
      <c r="C843" s="26"/>
      <c r="D843" s="27" t="s">
        <v>1763</v>
      </c>
      <c r="E843" s="142" t="s">
        <v>1762</v>
      </c>
      <c r="F843" s="142"/>
      <c r="G843" s="27" t="s">
        <v>2151</v>
      </c>
      <c r="H843" s="34">
        <f>Tabung!F36+Gas!D102+Kran!F57</f>
        <v>1615000</v>
      </c>
      <c r="I843" s="34">
        <f>Tabung!G36+Gas!E102+Kran!G57</f>
        <v>1615000</v>
      </c>
      <c r="J843" s="37"/>
    </row>
    <row r="844" spans="1:10" ht="23.1" customHeight="1">
      <c r="A844" s="26"/>
      <c r="B844" s="26"/>
      <c r="C844" s="26"/>
      <c r="D844" s="27" t="s">
        <v>1765</v>
      </c>
      <c r="E844" s="142" t="s">
        <v>1764</v>
      </c>
      <c r="F844" s="142"/>
      <c r="G844" s="27" t="s">
        <v>2151</v>
      </c>
      <c r="H844" s="34">
        <f>Tabung!F36+Kran!F57+Gas!D100</f>
        <v>1140000</v>
      </c>
      <c r="I844" s="34">
        <f>Tabung!G36+Kran!G57+Gas!E100</f>
        <v>1185000</v>
      </c>
      <c r="J844" s="37"/>
    </row>
    <row r="845" spans="1:10" ht="23.1" customHeight="1">
      <c r="A845" s="26"/>
      <c r="B845" s="26"/>
      <c r="C845" s="26"/>
      <c r="D845" s="27" t="s">
        <v>1767</v>
      </c>
      <c r="E845" s="142" t="s">
        <v>1766</v>
      </c>
      <c r="F845" s="142"/>
      <c r="G845" s="27" t="s">
        <v>2151</v>
      </c>
      <c r="H845" s="34">
        <f>Tabung!F38</f>
        <v>1400000</v>
      </c>
      <c r="I845" s="34">
        <f>Tabung!G38</f>
        <v>1400000</v>
      </c>
      <c r="J845" s="37"/>
    </row>
    <row r="846" spans="1:10" ht="23.1" customHeight="1">
      <c r="A846" s="26"/>
      <c r="B846" s="26"/>
      <c r="C846" s="26"/>
      <c r="D846" s="27" t="s">
        <v>1769</v>
      </c>
      <c r="E846" s="142" t="s">
        <v>1768</v>
      </c>
      <c r="F846" s="142"/>
      <c r="G846" s="27" t="s">
        <v>2151</v>
      </c>
      <c r="H846" s="34">
        <f>Tabung!F38</f>
        <v>1400000</v>
      </c>
      <c r="I846" s="34">
        <f>Tabung!G38</f>
        <v>1400000</v>
      </c>
      <c r="J846" s="37"/>
    </row>
    <row r="847" spans="1:10" ht="23.1" customHeight="1">
      <c r="A847" s="26"/>
      <c r="B847" s="26"/>
      <c r="C847" s="26"/>
      <c r="D847" s="27" t="s">
        <v>1771</v>
      </c>
      <c r="E847" s="142" t="s">
        <v>1770</v>
      </c>
      <c r="F847" s="142"/>
      <c r="G847" s="27" t="s">
        <v>2151</v>
      </c>
      <c r="H847" s="34">
        <f>Tabung!F41+Kran!F57</f>
        <v>1315000</v>
      </c>
      <c r="I847" s="34">
        <f>Tabung!G41+Kran!G57</f>
        <v>1315000</v>
      </c>
      <c r="J847" s="37"/>
    </row>
    <row r="848" spans="1:10" ht="23.1" customHeight="1">
      <c r="A848" s="26"/>
      <c r="B848" s="26"/>
      <c r="C848" s="26"/>
      <c r="D848" s="27" t="s">
        <v>1773</v>
      </c>
      <c r="E848" s="142" t="s">
        <v>1772</v>
      </c>
      <c r="F848" s="142"/>
      <c r="G848" s="27" t="s">
        <v>2151</v>
      </c>
      <c r="H848" s="34">
        <f>Tabung!F41+Kran!F55+Gas!D123</f>
        <v>3535000</v>
      </c>
      <c r="I848" s="34">
        <f>Tabung!G41+Kran!G55+Gas!E123</f>
        <v>3535000</v>
      </c>
      <c r="J848" s="37"/>
    </row>
    <row r="849" spans="1:10" ht="23.1" customHeight="1">
      <c r="A849" s="26"/>
      <c r="B849" s="26"/>
      <c r="C849" s="26"/>
      <c r="D849" s="27" t="s">
        <v>1775</v>
      </c>
      <c r="E849" s="142" t="s">
        <v>1774</v>
      </c>
      <c r="F849" s="142"/>
      <c r="G849" s="27" t="s">
        <v>2151</v>
      </c>
      <c r="H849" s="34">
        <f>Tabung!F41+Gas!D39</f>
        <v>1495000</v>
      </c>
      <c r="I849" s="34">
        <f>Tabung!G41+Gas!E39</f>
        <v>1495000</v>
      </c>
      <c r="J849" s="37"/>
    </row>
    <row r="850" spans="1:10" ht="23.1" customHeight="1">
      <c r="A850" s="26"/>
      <c r="B850" s="26"/>
      <c r="C850" s="26"/>
      <c r="D850" s="27" t="s">
        <v>1777</v>
      </c>
      <c r="E850" s="142" t="s">
        <v>1776</v>
      </c>
      <c r="F850" s="142"/>
      <c r="G850" s="27" t="s">
        <v>2151</v>
      </c>
      <c r="H850" s="34">
        <f>Tabung!F41+Gas!D40</f>
        <v>1660000</v>
      </c>
      <c r="I850" s="34">
        <f>Tabung!G41+Gas!E40</f>
        <v>1660000</v>
      </c>
      <c r="J850" s="37"/>
    </row>
    <row r="851" spans="1:10" ht="23.1" customHeight="1">
      <c r="A851" s="26"/>
      <c r="B851" s="26"/>
      <c r="C851" s="26"/>
      <c r="D851" s="27" t="s">
        <v>1779</v>
      </c>
      <c r="E851" s="142" t="s">
        <v>1778</v>
      </c>
      <c r="F851" s="142"/>
      <c r="G851" s="27" t="s">
        <v>2151</v>
      </c>
      <c r="H851" s="34">
        <f>Tabung!F41+Gas!D112</f>
        <v>1290000</v>
      </c>
      <c r="I851" s="34">
        <f>Tabung!G41+Gas!E112</f>
        <v>1290000</v>
      </c>
      <c r="J851" s="37"/>
    </row>
    <row r="852" spans="1:10" ht="23.1" customHeight="1">
      <c r="A852" s="26"/>
      <c r="B852" s="26"/>
      <c r="C852" s="26"/>
      <c r="D852" s="27" t="s">
        <v>1781</v>
      </c>
      <c r="E852" s="142" t="s">
        <v>1780</v>
      </c>
      <c r="F852" s="142"/>
      <c r="G852" s="27" t="s">
        <v>2151</v>
      </c>
      <c r="H852" s="34">
        <f>Tabung!F41+Gas!D105</f>
        <v>1250000</v>
      </c>
      <c r="I852" s="34">
        <f>Tabung!G41+Gas!E105</f>
        <v>1250000</v>
      </c>
      <c r="J852" s="37"/>
    </row>
    <row r="853" spans="1:10" ht="23.1" customHeight="1">
      <c r="A853" s="26"/>
      <c r="B853" s="26"/>
      <c r="C853" s="26"/>
      <c r="D853" s="27" t="s">
        <v>1783</v>
      </c>
      <c r="E853" s="142" t="s">
        <v>1782</v>
      </c>
      <c r="F853" s="142"/>
      <c r="G853" s="27" t="s">
        <v>2151</v>
      </c>
      <c r="H853" s="34">
        <f>Tabung!F41+Gas!D83</f>
        <v>1250000</v>
      </c>
      <c r="I853" s="34">
        <f>Tabung!G41+Gas!E83</f>
        <v>1250000</v>
      </c>
      <c r="J853" s="37"/>
    </row>
    <row r="854" spans="1:10" ht="23.1" customHeight="1">
      <c r="A854" s="26"/>
      <c r="B854" s="26"/>
      <c r="C854" s="26"/>
      <c r="D854" s="27" t="s">
        <v>1785</v>
      </c>
      <c r="E854" s="142" t="s">
        <v>1784</v>
      </c>
      <c r="F854" s="142"/>
      <c r="G854" s="27" t="s">
        <v>2151</v>
      </c>
      <c r="H854" s="34">
        <f>Tabung!F41</f>
        <v>1250000</v>
      </c>
      <c r="I854" s="34">
        <f>Tabung!G41</f>
        <v>1250000</v>
      </c>
      <c r="J854" s="37"/>
    </row>
    <row r="855" spans="1:10" ht="23.1" customHeight="1">
      <c r="A855" s="26"/>
      <c r="B855" s="26"/>
      <c r="C855" s="26"/>
      <c r="D855" s="27" t="s">
        <v>1791</v>
      </c>
      <c r="E855" s="142" t="s">
        <v>1790</v>
      </c>
      <c r="F855" s="142"/>
      <c r="G855" s="27" t="s">
        <v>2151</v>
      </c>
      <c r="H855" s="34">
        <f>Tabung!F41+Kran!F57+Gas!D103</f>
        <v>1515000</v>
      </c>
      <c r="I855" s="34">
        <f>Tabung!G41+Kran!G57+Gas!E103</f>
        <v>1540000</v>
      </c>
      <c r="J855" s="37"/>
    </row>
    <row r="856" spans="1:10" ht="23.1" customHeight="1">
      <c r="A856" s="26"/>
      <c r="B856" s="26"/>
      <c r="C856" s="26"/>
      <c r="D856" s="27" t="s">
        <v>2083</v>
      </c>
      <c r="E856" s="142" t="s">
        <v>2082</v>
      </c>
      <c r="F856" s="142"/>
      <c r="G856" s="27" t="s">
        <v>2151</v>
      </c>
      <c r="H856" s="34">
        <f>Tabung!F27+Kran!F37</f>
        <v>2420000</v>
      </c>
      <c r="I856" s="34">
        <f>Tabung!G27+Kran!G37</f>
        <v>2420000</v>
      </c>
      <c r="J856" s="147"/>
    </row>
    <row r="857" spans="1:10" ht="23.1" customHeight="1">
      <c r="A857" s="26"/>
      <c r="B857" s="26"/>
      <c r="C857" s="26"/>
      <c r="D857" s="27" t="s">
        <v>2161</v>
      </c>
      <c r="E857" s="142" t="s">
        <v>2160</v>
      </c>
      <c r="F857" s="142"/>
      <c r="G857" s="27" t="s">
        <v>2151</v>
      </c>
      <c r="H857" s="34">
        <f>Tabung!F27+Kran!F37</f>
        <v>2420000</v>
      </c>
      <c r="I857" s="34">
        <f>Tabung!G27+Kran!G37</f>
        <v>2420000</v>
      </c>
      <c r="J857" s="147"/>
    </row>
    <row r="858" spans="1:10" ht="23.1" customHeight="1">
      <c r="A858" s="26"/>
      <c r="B858" s="26"/>
      <c r="C858" s="26"/>
      <c r="D858" s="27" t="s">
        <v>1541</v>
      </c>
      <c r="E858" s="142" t="s">
        <v>2159</v>
      </c>
      <c r="F858" s="142"/>
      <c r="G858" s="27" t="s">
        <v>2151</v>
      </c>
      <c r="H858" s="34">
        <f>Tabung!F21+Kran!F57</f>
        <v>360000</v>
      </c>
      <c r="I858" s="34">
        <f>Tabung!G21+Kran!G57</f>
        <v>360000</v>
      </c>
      <c r="J858" s="37"/>
    </row>
    <row r="859" spans="1:10" ht="23.1" customHeight="1">
      <c r="A859" s="26"/>
      <c r="B859" s="26"/>
      <c r="C859" s="26"/>
      <c r="D859" s="27" t="s">
        <v>1709</v>
      </c>
      <c r="E859" s="142" t="s">
        <v>1708</v>
      </c>
      <c r="F859" s="142"/>
      <c r="G859" s="27" t="s">
        <v>2151</v>
      </c>
      <c r="H859" s="34">
        <f>Tabung!F36+Kran!F55</f>
        <v>935000</v>
      </c>
      <c r="I859" s="34">
        <f>Tabung!G36+Kran!G55</f>
        <v>935000</v>
      </c>
      <c r="J859" s="37"/>
    </row>
    <row r="860" spans="1:10" ht="23.1" customHeight="1">
      <c r="A860" s="26"/>
      <c r="B860" s="26"/>
      <c r="C860" s="26"/>
      <c r="D860" s="27" t="s">
        <v>2146</v>
      </c>
      <c r="E860" s="142" t="s">
        <v>2145</v>
      </c>
      <c r="F860" s="142"/>
      <c r="G860" s="27" t="s">
        <v>2151</v>
      </c>
      <c r="H860" s="34">
        <f>Tabung!F36+Kran!F57</f>
        <v>965000</v>
      </c>
      <c r="I860" s="34">
        <f>Tabung!G36+Kran!G57</f>
        <v>965000</v>
      </c>
      <c r="J860" s="37"/>
    </row>
    <row r="861" spans="1:10" ht="23.1" customHeight="1">
      <c r="A861" s="26"/>
      <c r="B861" s="26"/>
      <c r="C861" s="26"/>
      <c r="D861" s="27" t="s">
        <v>2158</v>
      </c>
      <c r="E861" s="142" t="s">
        <v>2157</v>
      </c>
      <c r="F861" s="142"/>
      <c r="G861" s="27" t="s">
        <v>2151</v>
      </c>
      <c r="H861" s="34">
        <f>Tabung!F36+Kran!F55+Gas!D69</f>
        <v>1103750</v>
      </c>
      <c r="I861" s="34">
        <f>Tabung!G36+Kran!G55+Gas!E69</f>
        <v>1097500</v>
      </c>
      <c r="J861" s="37"/>
    </row>
    <row r="862" spans="1:10" ht="23.1" customHeight="1">
      <c r="A862" s="26"/>
      <c r="B862" s="26"/>
      <c r="C862" s="26"/>
      <c r="D862" s="27" t="s">
        <v>2156</v>
      </c>
      <c r="E862" s="142" t="s">
        <v>2155</v>
      </c>
      <c r="F862" s="142"/>
      <c r="G862" s="27" t="s">
        <v>2151</v>
      </c>
      <c r="H862" s="34">
        <f>Tabung!F36+Kran!F55+Gas!D124</f>
        <v>3935000</v>
      </c>
      <c r="I862" s="34">
        <f>Tabung!G36+Kran!G55+Gas!E124</f>
        <v>3935000</v>
      </c>
      <c r="J862" s="37"/>
    </row>
    <row r="863" spans="1:10" ht="23.1" customHeight="1">
      <c r="A863" s="26"/>
      <c r="B863" s="26"/>
      <c r="C863" s="26"/>
      <c r="D863" s="27" t="s">
        <v>2154</v>
      </c>
      <c r="E863" s="142" t="s">
        <v>2153</v>
      </c>
      <c r="F863" s="142"/>
      <c r="G863" s="27" t="s">
        <v>2151</v>
      </c>
      <c r="H863" s="34">
        <f>Tabung!F50</f>
        <v>14500000</v>
      </c>
      <c r="I863" s="34">
        <f>Tabung!G50</f>
        <v>14700000</v>
      </c>
      <c r="J863" s="37"/>
    </row>
    <row r="864" spans="1:10" ht="26.25" customHeight="1">
      <c r="A864" s="26"/>
      <c r="B864" s="26"/>
      <c r="C864" s="26"/>
      <c r="D864" s="27" t="s">
        <v>2152</v>
      </c>
      <c r="E864" s="142" t="s">
        <v>1471</v>
      </c>
      <c r="F864" s="142"/>
      <c r="G864" s="27" t="s">
        <v>2151</v>
      </c>
      <c r="H864" s="34">
        <f>Tabung!F36+Kran!F55</f>
        <v>935000</v>
      </c>
      <c r="I864" s="34">
        <f>Tabung!G36+Kran!G55</f>
        <v>935000</v>
      </c>
      <c r="J864" s="37"/>
    </row>
    <row r="865" spans="4:9">
      <c r="D865" s="46" t="s">
        <v>2402</v>
      </c>
      <c r="E865" s="138" t="s">
        <v>1</v>
      </c>
      <c r="F865" s="138"/>
      <c r="H865" s="35">
        <v>20000</v>
      </c>
      <c r="I865" s="35">
        <v>20000</v>
      </c>
    </row>
    <row r="866" spans="4:9">
      <c r="D866" s="46" t="s">
        <v>2403</v>
      </c>
      <c r="E866" s="138" t="s">
        <v>100</v>
      </c>
      <c r="F866" s="138"/>
      <c r="H866" s="35">
        <v>145000</v>
      </c>
      <c r="I866" s="35">
        <v>145000</v>
      </c>
    </row>
    <row r="867" spans="4:9">
      <c r="D867" s="46" t="s">
        <v>2404</v>
      </c>
      <c r="E867" s="138" t="s">
        <v>2397</v>
      </c>
      <c r="F867" s="138"/>
      <c r="H867" s="35">
        <v>6500000</v>
      </c>
      <c r="I867" s="35">
        <v>7000000</v>
      </c>
    </row>
    <row r="868" spans="4:9">
      <c r="D868" s="46" t="s">
        <v>2405</v>
      </c>
      <c r="E868" s="138" t="s">
        <v>455</v>
      </c>
      <c r="F868" s="138"/>
      <c r="H868" s="35">
        <v>220000</v>
      </c>
      <c r="I868" s="35">
        <v>220000</v>
      </c>
    </row>
    <row r="869" spans="4:9">
      <c r="D869" s="46" t="s">
        <v>2406</v>
      </c>
      <c r="E869" s="138" t="s">
        <v>2398</v>
      </c>
      <c r="F869" s="138"/>
      <c r="H869" s="35">
        <v>18260000</v>
      </c>
      <c r="I869" s="35">
        <v>18260000</v>
      </c>
    </row>
    <row r="870" spans="4:9">
      <c r="D870" t="s">
        <v>2422</v>
      </c>
      <c r="E870" s="146" t="s">
        <v>2407</v>
      </c>
      <c r="F870" s="146"/>
      <c r="H870" s="35">
        <f>Kran!F12</f>
        <v>1500000</v>
      </c>
      <c r="I870" s="35">
        <f>Kran!G12</f>
        <v>1650000</v>
      </c>
    </row>
    <row r="871" spans="4:9">
      <c r="D871" t="s">
        <v>2423</v>
      </c>
      <c r="E871" s="146" t="s">
        <v>2408</v>
      </c>
      <c r="F871" s="146"/>
      <c r="I871" s="48">
        <v>195000</v>
      </c>
    </row>
    <row r="872" spans="4:9">
      <c r="D872" t="s">
        <v>2424</v>
      </c>
      <c r="E872" s="146" t="s">
        <v>2409</v>
      </c>
      <c r="F872" s="146"/>
      <c r="I872" s="48">
        <v>360000</v>
      </c>
    </row>
    <row r="873" spans="4:9">
      <c r="D873" t="s">
        <v>2425</v>
      </c>
      <c r="E873" s="146" t="s">
        <v>2410</v>
      </c>
      <c r="F873" s="146"/>
      <c r="H873" s="35">
        <f>Gas!D5*2</f>
        <v>80000</v>
      </c>
      <c r="I873" s="35">
        <f>Gas!E5*2</f>
        <v>75000</v>
      </c>
    </row>
    <row r="874" spans="4:9">
      <c r="D874" t="s">
        <v>2426</v>
      </c>
      <c r="E874" s="146" t="s">
        <v>2411</v>
      </c>
      <c r="F874" s="146"/>
      <c r="H874" s="35">
        <f>Gas!D5*3</f>
        <v>120000</v>
      </c>
      <c r="I874" s="35">
        <f>Gas!E5*3</f>
        <v>112500</v>
      </c>
    </row>
    <row r="875" spans="4:9">
      <c r="D875" t="s">
        <v>2427</v>
      </c>
      <c r="E875" s="146" t="s">
        <v>2412</v>
      </c>
      <c r="F875" s="146"/>
      <c r="H875" s="35">
        <f>Kran!F91</f>
        <v>15000</v>
      </c>
      <c r="I875" s="35">
        <f>Kran!G91</f>
        <v>15000</v>
      </c>
    </row>
    <row r="876" spans="4:9">
      <c r="D876" t="s">
        <v>2428</v>
      </c>
      <c r="E876" s="146" t="s">
        <v>96</v>
      </c>
      <c r="F876" s="146"/>
      <c r="H876" s="35">
        <f>Kran!F30</f>
        <v>92500</v>
      </c>
      <c r="I876" s="35">
        <f>Kran!G30</f>
        <v>92500</v>
      </c>
    </row>
    <row r="877" spans="4:9">
      <c r="D877" t="s">
        <v>2429</v>
      </c>
      <c r="E877" t="s">
        <v>2413</v>
      </c>
      <c r="F877"/>
      <c r="H877" s="35">
        <v>925000</v>
      </c>
      <c r="I877" s="35">
        <v>975000</v>
      </c>
    </row>
    <row r="878" spans="4:9">
      <c r="D878" t="s">
        <v>2430</v>
      </c>
      <c r="E878" t="s">
        <v>2414</v>
      </c>
      <c r="F878"/>
      <c r="H878" s="35">
        <v>1235000</v>
      </c>
      <c r="I878" s="35">
        <v>1235000</v>
      </c>
    </row>
    <row r="879" spans="4:9">
      <c r="D879" t="s">
        <v>2431</v>
      </c>
      <c r="E879" t="s">
        <v>2415</v>
      </c>
      <c r="F879"/>
      <c r="H879" s="35">
        <v>1460000</v>
      </c>
      <c r="I879" s="35">
        <v>1372500</v>
      </c>
    </row>
    <row r="880" spans="4:9">
      <c r="D880" t="s">
        <v>2432</v>
      </c>
      <c r="E880" t="s">
        <v>2416</v>
      </c>
      <c r="F880"/>
      <c r="H880" s="35">
        <v>820000</v>
      </c>
      <c r="I880" s="35">
        <v>900000</v>
      </c>
    </row>
    <row r="881" spans="4:9">
      <c r="D881" t="s">
        <v>2433</v>
      </c>
      <c r="E881" t="s">
        <v>2417</v>
      </c>
      <c r="F881"/>
      <c r="H881" s="35">
        <v>860000</v>
      </c>
      <c r="I881" s="35">
        <v>910000</v>
      </c>
    </row>
    <row r="882" spans="4:9">
      <c r="D882" t="s">
        <v>2434</v>
      </c>
      <c r="E882" t="s">
        <v>2418</v>
      </c>
      <c r="F882"/>
      <c r="H882" s="35">
        <v>485000</v>
      </c>
      <c r="I882" s="35">
        <v>485000</v>
      </c>
    </row>
    <row r="883" spans="4:9">
      <c r="D883" t="s">
        <v>2435</v>
      </c>
      <c r="E883" t="s">
        <v>2419</v>
      </c>
      <c r="F883"/>
      <c r="H883" s="50">
        <v>1275000</v>
      </c>
      <c r="I883" s="50">
        <v>1280000</v>
      </c>
    </row>
    <row r="884" spans="4:9">
      <c r="D884" t="s">
        <v>2436</v>
      </c>
      <c r="E884" t="s">
        <v>2420</v>
      </c>
      <c r="F884"/>
      <c r="H884" s="50">
        <v>19100000</v>
      </c>
      <c r="I884" s="50">
        <v>19250000</v>
      </c>
    </row>
    <row r="885" spans="4:9">
      <c r="D885" t="s">
        <v>2437</v>
      </c>
      <c r="E885" t="s">
        <v>2421</v>
      </c>
      <c r="F885"/>
      <c r="H885" s="50">
        <v>21450000</v>
      </c>
      <c r="I885" s="50">
        <v>21450000</v>
      </c>
    </row>
    <row r="886" spans="4:9">
      <c r="D886" s="25" t="s">
        <v>2438</v>
      </c>
      <c r="E886" s="25" t="s">
        <v>2439</v>
      </c>
      <c r="H886" s="50">
        <f>Tabung!F36+Gas!D142</f>
        <v>950000</v>
      </c>
      <c r="I886" s="50">
        <f>Tabung!G36+Gas!E142</f>
        <v>1035000</v>
      </c>
    </row>
    <row r="887" spans="4:9">
      <c r="D887" s="25" t="s">
        <v>2440</v>
      </c>
      <c r="E887" s="25" t="s">
        <v>2441</v>
      </c>
      <c r="H887" s="50">
        <f>Tabung!F19+Kran!F55+Gas!D85</f>
        <v>429000</v>
      </c>
      <c r="I887" s="50">
        <f>Tabung!G19+Kran!G55+Gas!E85</f>
        <v>455000</v>
      </c>
    </row>
    <row r="888" spans="4:9">
      <c r="D888" s="25" t="s">
        <v>2442</v>
      </c>
      <c r="E888" s="49" t="s">
        <v>2359</v>
      </c>
      <c r="H888" s="50">
        <f>Gas!D127</f>
        <v>17000</v>
      </c>
      <c r="I888" s="50">
        <f>Gas!E127</f>
        <v>17000</v>
      </c>
    </row>
    <row r="889" spans="4:9">
      <c r="D889" s="25" t="s">
        <v>2402</v>
      </c>
      <c r="E889" s="51" t="s">
        <v>1</v>
      </c>
      <c r="H889" s="50">
        <f>Kran!F5</f>
        <v>20000</v>
      </c>
      <c r="I889" s="50">
        <f>Kran!G5</f>
        <v>20000</v>
      </c>
    </row>
    <row r="890" spans="4:9">
      <c r="D890" s="25" t="s">
        <v>2403</v>
      </c>
      <c r="E890" s="51" t="s">
        <v>100</v>
      </c>
      <c r="H890" s="50">
        <f>Kran!F34</f>
        <v>145000</v>
      </c>
      <c r="I890" s="50">
        <f>Kran!G34</f>
        <v>145000</v>
      </c>
    </row>
    <row r="891" spans="4:9">
      <c r="D891" s="25" t="s">
        <v>2404</v>
      </c>
      <c r="E891" s="51" t="s">
        <v>2397</v>
      </c>
      <c r="H891" s="50">
        <f>Tabung!F59</f>
        <v>6500000</v>
      </c>
      <c r="I891" s="50">
        <f>Tabung!G59</f>
        <v>7000000</v>
      </c>
    </row>
    <row r="892" spans="4:9">
      <c r="D892" s="25" t="s">
        <v>2405</v>
      </c>
      <c r="E892" s="51" t="s">
        <v>455</v>
      </c>
      <c r="H892" s="50">
        <f>Kran!F37</f>
        <v>220000</v>
      </c>
      <c r="I892" s="50">
        <f>Kran!G37</f>
        <v>220000</v>
      </c>
    </row>
    <row r="893" spans="4:9">
      <c r="D893" s="25" t="s">
        <v>2406</v>
      </c>
      <c r="E893" s="25" t="s">
        <v>2398</v>
      </c>
      <c r="H893" s="50">
        <f>Tabung!F50+Liquid!F16</f>
        <v>15160000</v>
      </c>
      <c r="I893" s="50">
        <f>Tabung!G50+Liquid!G16</f>
        <v>15360000</v>
      </c>
    </row>
    <row r="894" spans="4:9">
      <c r="D894" s="49" t="s">
        <v>2443</v>
      </c>
      <c r="E894" s="49" t="s">
        <v>2444</v>
      </c>
      <c r="H894" s="50">
        <f>Tabung!F36+Gas!D133</f>
        <v>927500</v>
      </c>
      <c r="I894" s="50">
        <f>Tabung!G36+Gas!E133</f>
        <v>933000</v>
      </c>
    </row>
    <row r="895" spans="4:9">
      <c r="D895" s="49" t="s">
        <v>2445</v>
      </c>
      <c r="E895" s="49" t="s">
        <v>2446</v>
      </c>
      <c r="H895" s="50">
        <f>Tabung!F27</f>
        <v>2200000</v>
      </c>
      <c r="I895" s="50">
        <f>Tabung!G27</f>
        <v>2200000</v>
      </c>
    </row>
    <row r="896" spans="4:9">
      <c r="D896" s="49" t="s">
        <v>2447</v>
      </c>
      <c r="E896" s="49" t="s">
        <v>2448</v>
      </c>
      <c r="H896" s="50">
        <f>Tabung!F48</f>
        <v>5500000</v>
      </c>
      <c r="I896" s="50">
        <f>Tabung!G48</f>
        <v>5500000</v>
      </c>
    </row>
    <row r="897" spans="4:9">
      <c r="D897" s="49" t="s">
        <v>2449</v>
      </c>
      <c r="E897" s="49" t="s">
        <v>2450</v>
      </c>
      <c r="H897" s="50">
        <f>Tabung!F36+Gas!D111</f>
        <v>935000</v>
      </c>
      <c r="I897" s="50">
        <f>Tabung!G36+Gas!E111</f>
        <v>940000</v>
      </c>
    </row>
    <row r="898" spans="4:9">
      <c r="D898" s="49" t="s">
        <v>2451</v>
      </c>
      <c r="E898" s="49" t="s">
        <v>2452</v>
      </c>
      <c r="H898" s="50">
        <f>Kran!F89</f>
        <v>50000</v>
      </c>
      <c r="I898" s="50">
        <f>Kran!G89</f>
        <v>50000</v>
      </c>
    </row>
    <row r="899" spans="4:9">
      <c r="D899" s="49" t="s">
        <v>2453</v>
      </c>
      <c r="E899" s="49" t="s">
        <v>2454</v>
      </c>
      <c r="H899" s="50">
        <f>Gas!D110</f>
        <v>375000</v>
      </c>
      <c r="I899" s="50">
        <f>Gas!E110</f>
        <v>375000</v>
      </c>
    </row>
    <row r="900" spans="4:9">
      <c r="D900" s="49" t="s">
        <v>2455</v>
      </c>
      <c r="E900" s="49" t="s">
        <v>2456</v>
      </c>
      <c r="H900" s="35">
        <f>Gas!D116</f>
        <v>600000</v>
      </c>
      <c r="I900" s="35">
        <f>Gas!E116</f>
        <v>850000</v>
      </c>
    </row>
    <row r="901" spans="4:9">
      <c r="D901" s="25" t="s">
        <v>2457</v>
      </c>
      <c r="E901" s="25" t="s">
        <v>2458</v>
      </c>
      <c r="H901" s="35">
        <f>Kran!F31</f>
        <v>87500</v>
      </c>
      <c r="I901" s="35">
        <f>Kran!G31</f>
        <v>87500</v>
      </c>
    </row>
    <row r="902" spans="4:9">
      <c r="D902" s="25" t="s">
        <v>2459</v>
      </c>
      <c r="E902" s="25" t="s">
        <v>238</v>
      </c>
      <c r="H902" s="35">
        <f>Liquid!F8</f>
        <v>20000</v>
      </c>
      <c r="I902" s="35">
        <f>Liquid!G8</f>
        <v>20000</v>
      </c>
    </row>
    <row r="903" spans="4:9">
      <c r="D903" s="53" t="s">
        <v>2174</v>
      </c>
      <c r="E903" s="145" t="s">
        <v>2469</v>
      </c>
      <c r="F903" s="138"/>
    </row>
    <row r="904" spans="4:9">
      <c r="D904" s="53" t="s">
        <v>2471</v>
      </c>
      <c r="E904" s="145" t="s">
        <v>2470</v>
      </c>
      <c r="F904" s="138"/>
      <c r="H904" s="35">
        <f>Tabung!F29</f>
        <v>2250000</v>
      </c>
      <c r="I904" s="35">
        <f>Tabung!G29</f>
        <v>2250000</v>
      </c>
    </row>
    <row r="905" spans="4:9">
      <c r="D905" s="53" t="s">
        <v>2474</v>
      </c>
      <c r="E905" s="57" t="s">
        <v>2473</v>
      </c>
      <c r="H905" s="35">
        <f>Tabung!F30</f>
        <v>2300000</v>
      </c>
      <c r="I905" s="35">
        <f>Tabung!G30</f>
        <v>2300000</v>
      </c>
    </row>
    <row r="906" spans="4:9">
      <c r="E906" s="25" t="s">
        <v>2475</v>
      </c>
      <c r="H906" s="35">
        <f>Tabung!F36</f>
        <v>900000</v>
      </c>
      <c r="I906" s="35">
        <f>Tabung!G36</f>
        <v>900000</v>
      </c>
    </row>
    <row r="907" spans="4:9">
      <c r="D907" s="61">
        <v>100043</v>
      </c>
      <c r="E907" s="144" t="s">
        <v>2478</v>
      </c>
      <c r="F907" s="138"/>
      <c r="H907" s="35">
        <f>Kran!F94</f>
        <v>15000</v>
      </c>
      <c r="I907" s="35">
        <f>Kran!G94</f>
        <v>15000</v>
      </c>
    </row>
    <row r="908" spans="4:9">
      <c r="D908" s="70" t="s">
        <v>2497</v>
      </c>
      <c r="E908" s="142" t="s">
        <v>2496</v>
      </c>
      <c r="F908" s="142"/>
      <c r="H908" s="35">
        <f>Kran!F16</f>
        <v>111000000</v>
      </c>
      <c r="I908" s="35">
        <f>Kran!G16</f>
        <v>111000000</v>
      </c>
    </row>
    <row r="909" spans="4:9">
      <c r="D909" s="70" t="s">
        <v>2499</v>
      </c>
      <c r="E909" s="143" t="s">
        <v>2498</v>
      </c>
      <c r="F909" s="138"/>
      <c r="H909" s="35">
        <f>Tabung!F64</f>
        <v>115000000</v>
      </c>
      <c r="I909" s="35">
        <f>Tabung!G64</f>
        <v>115000000</v>
      </c>
    </row>
    <row r="910" spans="4:9">
      <c r="D910" s="70" t="s">
        <v>2501</v>
      </c>
      <c r="E910" s="142" t="s">
        <v>2500</v>
      </c>
      <c r="F910" s="142"/>
    </row>
    <row r="911" spans="4:9">
      <c r="D911" t="s">
        <v>1498</v>
      </c>
      <c r="E911" s="138" t="s">
        <v>1497</v>
      </c>
      <c r="F911" s="138"/>
      <c r="H911" s="101">
        <f>Tabung!F45+Gas!D55</f>
        <v>410000</v>
      </c>
      <c r="I911" s="101">
        <f>Tabung!G45+Gas!E55</f>
        <v>410000</v>
      </c>
    </row>
    <row r="912" spans="4:9">
      <c r="D912" t="s">
        <v>2548</v>
      </c>
      <c r="E912" s="138" t="s">
        <v>2549</v>
      </c>
      <c r="F912" s="138"/>
      <c r="H912" s="101">
        <f>Tabung!F31+Gas!D33</f>
        <v>655000</v>
      </c>
      <c r="I912" s="101">
        <f>Tabung!G31+Gas!E33</f>
        <v>690000</v>
      </c>
    </row>
    <row r="913" spans="4:9">
      <c r="D913" t="s">
        <v>2550</v>
      </c>
      <c r="E913" s="138" t="s">
        <v>2551</v>
      </c>
      <c r="F913" s="138"/>
      <c r="H913" s="101">
        <f>Tabung!F31</f>
        <v>550000</v>
      </c>
      <c r="I913" s="101">
        <f>Tabung!G31</f>
        <v>550000</v>
      </c>
    </row>
    <row r="914" spans="4:9">
      <c r="D914" t="s">
        <v>2552</v>
      </c>
      <c r="E914" s="138" t="s">
        <v>2553</v>
      </c>
      <c r="F914" s="138"/>
      <c r="H914" s="101">
        <f>Tabung!F36+Kran!F55+Gas!D69</f>
        <v>1103750</v>
      </c>
      <c r="I914" s="101">
        <f>Tabung!G36+Kran!G55+Gas!E69</f>
        <v>1097500</v>
      </c>
    </row>
    <row r="915" spans="4:9">
      <c r="D915" t="s">
        <v>325</v>
      </c>
      <c r="E915" s="138" t="s">
        <v>324</v>
      </c>
      <c r="F915" s="138"/>
      <c r="H915" s="101">
        <f>Tabung!F36</f>
        <v>900000</v>
      </c>
      <c r="I915" s="101">
        <f>Tabung!G36</f>
        <v>900000</v>
      </c>
    </row>
    <row r="916" spans="4:9">
      <c r="D916" t="s">
        <v>2554</v>
      </c>
      <c r="E916" s="138" t="s">
        <v>2555</v>
      </c>
      <c r="F916" s="138"/>
      <c r="H916" s="101">
        <f>Tabung!F36+Gas!D133</f>
        <v>927500</v>
      </c>
      <c r="I916" s="101">
        <f>Tabung!G36+Gas!E133</f>
        <v>933000</v>
      </c>
    </row>
    <row r="917" spans="4:9">
      <c r="D917" t="s">
        <v>2556</v>
      </c>
      <c r="E917" s="138" t="s">
        <v>2557</v>
      </c>
      <c r="F917" s="138"/>
      <c r="H917" s="101">
        <f>Tabung!F36</f>
        <v>900000</v>
      </c>
      <c r="I917" s="101">
        <f>Tabung!G36</f>
        <v>900000</v>
      </c>
    </row>
    <row r="918" spans="4:9">
      <c r="D918" t="s">
        <v>2558</v>
      </c>
      <c r="E918" s="138" t="s">
        <v>2559</v>
      </c>
      <c r="F918" s="138"/>
      <c r="H918" s="101">
        <f>Tabung!F36+Gas!D37</f>
        <v>1040000</v>
      </c>
      <c r="I918" s="101">
        <f>Tabung!G36+Gas!E37</f>
        <v>1070000</v>
      </c>
    </row>
    <row r="919" spans="4:9">
      <c r="D919" t="s">
        <v>2560</v>
      </c>
      <c r="E919" s="138" t="s">
        <v>2561</v>
      </c>
      <c r="F919" s="138"/>
      <c r="H919" s="101">
        <f>Tabung!F36+Gas!D133</f>
        <v>927500</v>
      </c>
      <c r="I919" s="101">
        <f>Tabung!G36+Gas!E133</f>
        <v>933000</v>
      </c>
    </row>
    <row r="920" spans="4:9">
      <c r="D920" t="s">
        <v>2562</v>
      </c>
      <c r="E920" s="138" t="s">
        <v>2563</v>
      </c>
      <c r="F920" s="138"/>
      <c r="H920" s="101">
        <f>Tabung!F36+Gas!D111</f>
        <v>935000</v>
      </c>
      <c r="I920" s="101">
        <f>Tabung!G36+Gas!E111</f>
        <v>940000</v>
      </c>
    </row>
    <row r="921" spans="4:9">
      <c r="D921" t="s">
        <v>2566</v>
      </c>
      <c r="E921" s="138" t="s">
        <v>2567</v>
      </c>
      <c r="F921" s="138"/>
      <c r="H921" s="101">
        <f>Tabung!F36+Kran!F55+Gas!D72</f>
        <v>1070000</v>
      </c>
      <c r="I921" s="101">
        <f>Tabung!G36+Kran!G55+Gas!E72</f>
        <v>1075000</v>
      </c>
    </row>
    <row r="922" spans="4:9">
      <c r="D922" t="s">
        <v>2564</v>
      </c>
      <c r="E922" s="138" t="s">
        <v>2565</v>
      </c>
      <c r="F922" s="138"/>
      <c r="H922" s="101">
        <f>Kran!F94</f>
        <v>15000</v>
      </c>
      <c r="I922" s="101">
        <f>Kran!G94</f>
        <v>15000</v>
      </c>
    </row>
    <row r="923" spans="4:9">
      <c r="D923" s="102" t="s">
        <v>2589</v>
      </c>
      <c r="E923" s="137" t="s">
        <v>2590</v>
      </c>
      <c r="F923" s="138"/>
      <c r="H923" s="104">
        <f>Tabung!F36</f>
        <v>900000</v>
      </c>
      <c r="I923" s="104">
        <f>Tabung!G36</f>
        <v>900000</v>
      </c>
    </row>
    <row r="924" spans="4:9">
      <c r="D924" s="105" t="s">
        <v>2591</v>
      </c>
      <c r="E924" s="138" t="s">
        <v>2592</v>
      </c>
      <c r="F924" s="138"/>
      <c r="H924" s="104">
        <f>Tabung!F36+Gas!D133</f>
        <v>927500</v>
      </c>
      <c r="I924" s="104">
        <f>Tabung!G36+Gas!E133</f>
        <v>933000</v>
      </c>
    </row>
    <row r="925" spans="4:9">
      <c r="D925" s="102" t="s">
        <v>2593</v>
      </c>
      <c r="E925" s="138" t="s">
        <v>2594</v>
      </c>
      <c r="F925" s="138"/>
      <c r="H925" s="104">
        <f>Tabung!F36+Gas!D142</f>
        <v>950000</v>
      </c>
      <c r="I925" s="104">
        <f>Tabung!G36+Gas!E142</f>
        <v>1035000</v>
      </c>
    </row>
    <row r="926" spans="4:9">
      <c r="D926" s="106" t="s">
        <v>2671</v>
      </c>
      <c r="E926" s="141" t="s">
        <v>2595</v>
      </c>
      <c r="F926" s="141"/>
      <c r="H926" s="104">
        <f>Tabung!F42+Gas!D7+Gas!D5*4</f>
        <v>1600000</v>
      </c>
      <c r="I926" s="104">
        <f>Tabung!G42+Gas!E7+Gas!E5*4</f>
        <v>1620000</v>
      </c>
    </row>
    <row r="927" spans="4:9">
      <c r="D927" s="105" t="s">
        <v>2596</v>
      </c>
      <c r="E927" s="138" t="s">
        <v>2597</v>
      </c>
      <c r="F927" s="138"/>
      <c r="H927" s="104">
        <f>Tabung!F36+Gas!D135</f>
        <v>2150000</v>
      </c>
      <c r="I927" s="104">
        <f>Tabung!G36+Gas!E135</f>
        <v>2150000</v>
      </c>
    </row>
    <row r="928" spans="4:9">
      <c r="D928" s="105" t="s">
        <v>2598</v>
      </c>
      <c r="E928" s="138" t="s">
        <v>2599</v>
      </c>
      <c r="F928" s="138"/>
      <c r="H928" s="104">
        <f>Tabung!F31+Kran!F57</f>
        <v>615000</v>
      </c>
      <c r="I928" s="104">
        <f>Tabung!G31+Kran!G57</f>
        <v>615000</v>
      </c>
    </row>
    <row r="929" spans="4:9">
      <c r="D929" s="105" t="s">
        <v>2600</v>
      </c>
      <c r="E929" s="138" t="s">
        <v>2601</v>
      </c>
      <c r="F929" s="138"/>
      <c r="H929" s="104">
        <f>Tabung!F31</f>
        <v>550000</v>
      </c>
      <c r="I929" s="104">
        <f>Tabung!G31</f>
        <v>550000</v>
      </c>
    </row>
    <row r="930" spans="4:9">
      <c r="D930" s="105" t="s">
        <v>2602</v>
      </c>
      <c r="E930" s="137" t="s">
        <v>2603</v>
      </c>
      <c r="F930" s="138"/>
      <c r="H930" s="104">
        <f>Tabung!F36+Gas!D40</f>
        <v>1310000</v>
      </c>
      <c r="I930" s="104">
        <f>Tabung!G36+Gas!E40</f>
        <v>1310000</v>
      </c>
    </row>
    <row r="931" spans="4:9">
      <c r="D931" s="105" t="s">
        <v>2604</v>
      </c>
      <c r="E931" s="137" t="s">
        <v>2605</v>
      </c>
      <c r="F931" s="138"/>
      <c r="H931" s="104">
        <f>Tabung!F36+Gas!D111</f>
        <v>935000</v>
      </c>
      <c r="I931" s="104">
        <f>Tabung!G36+Gas!E111</f>
        <v>940000</v>
      </c>
    </row>
    <row r="932" spans="4:9">
      <c r="D932" s="105" t="s">
        <v>2606</v>
      </c>
      <c r="E932" s="139" t="s">
        <v>2607</v>
      </c>
      <c r="F932" s="140"/>
      <c r="H932" s="104">
        <f>Tabung!F31+Kran!F55+Gas!D62</f>
        <v>685000</v>
      </c>
      <c r="I932" s="104">
        <f>Tabung!G31+Kran!G55+Gas!E62</f>
        <v>685000</v>
      </c>
    </row>
    <row r="933" spans="4:9">
      <c r="D933" s="105" t="s">
        <v>2608</v>
      </c>
      <c r="E933" s="137" t="s">
        <v>2609</v>
      </c>
      <c r="F933" s="138"/>
      <c r="H933" s="104">
        <f>Tabung!F30</f>
        <v>2300000</v>
      </c>
      <c r="I933" s="104">
        <f>Tabung!G30</f>
        <v>2300000</v>
      </c>
    </row>
    <row r="934" spans="4:9" s="98" customFormat="1">
      <c r="D934" s="103" t="s">
        <v>2610</v>
      </c>
      <c r="E934" s="137" t="s">
        <v>2611</v>
      </c>
      <c r="F934" s="138"/>
      <c r="H934" s="107">
        <f>Tabung!F45</f>
        <v>350000</v>
      </c>
      <c r="I934" s="107">
        <f>Tabung!G45</f>
        <v>350000</v>
      </c>
    </row>
    <row r="935" spans="4:9" s="98" customFormat="1">
      <c r="D935" s="103" t="s">
        <v>2612</v>
      </c>
      <c r="E935" s="137" t="s">
        <v>2613</v>
      </c>
      <c r="F935" s="138"/>
      <c r="H935" s="107">
        <f>Tabung!F31</f>
        <v>550000</v>
      </c>
      <c r="I935" s="107">
        <f>Tabung!G31</f>
        <v>550000</v>
      </c>
    </row>
    <row r="936" spans="4:9" s="98" customFormat="1">
      <c r="D936" s="103" t="s">
        <v>2614</v>
      </c>
      <c r="E936" s="138" t="s">
        <v>2615</v>
      </c>
      <c r="F936" s="138"/>
      <c r="H936" s="107">
        <f>Tabung!F31+Gas!D106</f>
        <v>580000</v>
      </c>
      <c r="I936" s="107">
        <f>Tabung!G31+Gas!E106</f>
        <v>580000</v>
      </c>
    </row>
    <row r="937" spans="4:9">
      <c r="D937" s="105" t="s">
        <v>2616</v>
      </c>
      <c r="E937" s="137" t="s">
        <v>2617</v>
      </c>
      <c r="F937" s="138"/>
      <c r="H937" s="104">
        <f>Tabung!F36</f>
        <v>900000</v>
      </c>
      <c r="I937" s="104">
        <f>Tabung!G36</f>
        <v>900000</v>
      </c>
    </row>
    <row r="938" spans="4:9">
      <c r="D938" s="105" t="s">
        <v>2552</v>
      </c>
      <c r="E938" s="138" t="s">
        <v>2553</v>
      </c>
      <c r="F938" s="138"/>
      <c r="H938" s="104">
        <f>Tabung!F36+Kran!F55+Gas!D69</f>
        <v>1103750</v>
      </c>
      <c r="I938" s="104">
        <f>Tabung!G36+Kran!G55+Gas!E69</f>
        <v>1097500</v>
      </c>
    </row>
    <row r="939" spans="4:9">
      <c r="D939" s="105" t="s">
        <v>2618</v>
      </c>
      <c r="E939" s="138" t="s">
        <v>2619</v>
      </c>
      <c r="F939" s="138"/>
      <c r="H939" s="104">
        <f>Tabung!F36+Kran!F55</f>
        <v>935000</v>
      </c>
      <c r="I939" s="104">
        <f>Tabung!G36+Kran!G55</f>
        <v>935000</v>
      </c>
    </row>
    <row r="940" spans="4:9">
      <c r="D940" s="105" t="s">
        <v>2620</v>
      </c>
      <c r="E940" s="138" t="s">
        <v>2621</v>
      </c>
      <c r="F940" s="138"/>
      <c r="H940" s="104">
        <f>Tabung!F29</f>
        <v>2250000</v>
      </c>
      <c r="I940" s="104">
        <f>Tabung!G29</f>
        <v>2250000</v>
      </c>
    </row>
    <row r="941" spans="4:9">
      <c r="D941" s="105" t="s">
        <v>2622</v>
      </c>
      <c r="E941" s="137" t="s">
        <v>2623</v>
      </c>
      <c r="F941" s="138"/>
      <c r="H941" s="104">
        <f>Tabung!F28+Kran!F94+Kran!F30+Gas!D73</f>
        <v>3161250</v>
      </c>
      <c r="I941" s="104">
        <f>Tabung!G28+Kran!G94+Kran!G30+Gas!E73</f>
        <v>3150000</v>
      </c>
    </row>
    <row r="942" spans="4:9">
      <c r="D942" s="105" t="s">
        <v>2624</v>
      </c>
      <c r="E942" s="137" t="s">
        <v>2625</v>
      </c>
      <c r="F942" s="138"/>
      <c r="H942" s="104">
        <f>Tabung!F29+Gas!D113</f>
        <v>2800000</v>
      </c>
      <c r="I942" s="104">
        <f>Tabung!G29+Gas!E113</f>
        <v>2925000</v>
      </c>
    </row>
    <row r="943" spans="4:9">
      <c r="D943" s="105" t="s">
        <v>2626</v>
      </c>
      <c r="E943" s="137" t="s">
        <v>2627</v>
      </c>
      <c r="F943" s="138"/>
      <c r="H943" s="104">
        <f>Tabung!F36+Gas!D111</f>
        <v>935000</v>
      </c>
      <c r="I943" s="104">
        <f>Tabung!G36+Gas!E111</f>
        <v>940000</v>
      </c>
    </row>
    <row r="944" spans="4:9">
      <c r="D944" s="105" t="s">
        <v>2628</v>
      </c>
      <c r="E944" s="137" t="s">
        <v>2629</v>
      </c>
      <c r="F944" s="138"/>
      <c r="H944" s="104">
        <f>Tabung!F29</f>
        <v>2250000</v>
      </c>
      <c r="I944" s="104">
        <f>Tabung!G29</f>
        <v>2250000</v>
      </c>
    </row>
    <row r="945" spans="4:9">
      <c r="D945" s="105" t="s">
        <v>2630</v>
      </c>
      <c r="E945" s="137" t="s">
        <v>2631</v>
      </c>
      <c r="F945" s="138"/>
      <c r="H945" s="104">
        <f>Tabung!F42+Gas!D6+Gas!D5*2</f>
        <v>1405000</v>
      </c>
      <c r="I945" s="104">
        <f>Tabung!G42+Gas!E6+Gas!E5*2</f>
        <v>1545000</v>
      </c>
    </row>
    <row r="946" spans="4:9">
      <c r="D946" s="85" t="s">
        <v>2632</v>
      </c>
      <c r="E946" s="85" t="s">
        <v>2633</v>
      </c>
      <c r="H946" s="50">
        <f>Kran!F68</f>
        <v>140000</v>
      </c>
      <c r="I946" s="50">
        <f>Kran!G68</f>
        <v>140000</v>
      </c>
    </row>
    <row r="947" spans="4:9">
      <c r="D947" s="85" t="s">
        <v>2634</v>
      </c>
      <c r="E947" s="85" t="s">
        <v>2635</v>
      </c>
      <c r="H947" s="50">
        <f>Tabung!F30+Kran!F55</f>
        <v>2335000</v>
      </c>
      <c r="I947" s="50">
        <f>Tabung!G30+Kran!G55</f>
        <v>2335000</v>
      </c>
    </row>
    <row r="948" spans="4:9">
      <c r="D948" s="85" t="s">
        <v>2636</v>
      </c>
      <c r="E948" s="85" t="s">
        <v>2637</v>
      </c>
      <c r="H948" s="50">
        <f>Tabung!F45+Gas!D55</f>
        <v>410000</v>
      </c>
      <c r="I948" s="50">
        <f>Tabung!G45+Gas!E55</f>
        <v>410000</v>
      </c>
    </row>
    <row r="949" spans="4:9">
      <c r="D949" s="85" t="s">
        <v>2638</v>
      </c>
      <c r="E949" s="85" t="s">
        <v>2639</v>
      </c>
      <c r="H949" s="50">
        <f>Tabung!F44+Gas!D53</f>
        <v>380000</v>
      </c>
      <c r="I949" s="50">
        <f>Tabung!G44+Gas!E53</f>
        <v>380000</v>
      </c>
    </row>
    <row r="950" spans="4:9">
      <c r="D950" s="85" t="s">
        <v>2640</v>
      </c>
      <c r="E950" s="85" t="s">
        <v>2641</v>
      </c>
      <c r="H950" s="50">
        <f>Tabung!F36+Kran!F57</f>
        <v>965000</v>
      </c>
      <c r="I950" s="50">
        <f>Tabung!G36+Kran!G57</f>
        <v>965000</v>
      </c>
    </row>
    <row r="951" spans="4:9">
      <c r="D951" s="85" t="s">
        <v>2642</v>
      </c>
      <c r="E951" s="85" t="s">
        <v>2643</v>
      </c>
      <c r="H951" s="50">
        <f>Tabung!F31+Kran!F10+Kran!F57+Gas!D99</f>
        <v>1165000</v>
      </c>
      <c r="I951" s="50">
        <f>Tabung!G31+Kran!G10+Kran!G57+Gas!E99</f>
        <v>1165000</v>
      </c>
    </row>
    <row r="952" spans="4:9">
      <c r="D952" s="85" t="s">
        <v>2644</v>
      </c>
      <c r="E952" s="85" t="s">
        <v>2645</v>
      </c>
      <c r="H952" s="50">
        <f>Tabung!F45</f>
        <v>350000</v>
      </c>
      <c r="I952" s="50">
        <f>Tabung!G45</f>
        <v>350000</v>
      </c>
    </row>
    <row r="953" spans="4:9">
      <c r="D953" s="85" t="s">
        <v>1214</v>
      </c>
      <c r="E953" s="85" t="s">
        <v>2646</v>
      </c>
      <c r="H953" s="50">
        <f>Gas!D137</f>
        <v>32500</v>
      </c>
      <c r="I953" s="50">
        <f>Gas!E137</f>
        <v>33000</v>
      </c>
    </row>
    <row r="954" spans="4:9">
      <c r="D954" s="85" t="s">
        <v>2647</v>
      </c>
      <c r="E954" s="85" t="s">
        <v>2648</v>
      </c>
      <c r="H954" s="50">
        <f>Gas!D137</f>
        <v>32500</v>
      </c>
      <c r="I954" s="50">
        <f>Gas!E137</f>
        <v>33000</v>
      </c>
    </row>
    <row r="955" spans="4:9">
      <c r="D955" s="85" t="s">
        <v>1216</v>
      </c>
      <c r="E955" s="85" t="s">
        <v>2649</v>
      </c>
      <c r="H955" s="50"/>
      <c r="I955" s="50"/>
    </row>
    <row r="956" spans="4:9">
      <c r="D956" s="85" t="s">
        <v>2572</v>
      </c>
      <c r="E956" s="85" t="s">
        <v>2570</v>
      </c>
      <c r="H956" s="50">
        <f>Kran!F7</f>
        <v>15000</v>
      </c>
      <c r="I956" s="50">
        <f>Kran!G7</f>
        <v>15000</v>
      </c>
    </row>
    <row r="957" spans="4:9">
      <c r="D957" s="85" t="s">
        <v>2650</v>
      </c>
      <c r="E957" s="85" t="s">
        <v>2651</v>
      </c>
      <c r="H957" s="50">
        <f>Kran!F8</f>
        <v>20000</v>
      </c>
      <c r="I957" s="50">
        <f>Kran!G8</f>
        <v>20000</v>
      </c>
    </row>
    <row r="958" spans="4:9">
      <c r="D958" s="85" t="s">
        <v>2652</v>
      </c>
      <c r="E958" s="85" t="s">
        <v>2653</v>
      </c>
      <c r="H958" s="50">
        <f>Gas!D15+Gas!D5</f>
        <v>890000</v>
      </c>
      <c r="I958" s="50">
        <f>Gas!E15+Gas!E5</f>
        <v>887500</v>
      </c>
    </row>
    <row r="959" spans="4:9">
      <c r="D959" s="85" t="s">
        <v>2390</v>
      </c>
      <c r="E959" s="85" t="s">
        <v>2389</v>
      </c>
      <c r="H959" s="50">
        <f>Gas!D142</f>
        <v>50000</v>
      </c>
      <c r="I959" s="50">
        <f>Gas!E142</f>
        <v>135000</v>
      </c>
    </row>
    <row r="960" spans="4:9">
      <c r="D960" s="85" t="s">
        <v>2654</v>
      </c>
      <c r="E960" s="85" t="s">
        <v>2655</v>
      </c>
      <c r="H960" s="50">
        <f>Kran!F9</f>
        <v>15000</v>
      </c>
      <c r="I960" s="50">
        <f>Kran!G9</f>
        <v>15000</v>
      </c>
    </row>
    <row r="961" spans="4:9">
      <c r="D961" s="85" t="s">
        <v>2656</v>
      </c>
      <c r="E961" s="85" t="s">
        <v>2657</v>
      </c>
      <c r="H961" s="50">
        <f>Gas!D113</f>
        <v>550000</v>
      </c>
      <c r="I961" s="50">
        <f>Gas!E113</f>
        <v>675000</v>
      </c>
    </row>
    <row r="962" spans="4:9">
      <c r="D962" s="85" t="s">
        <v>2658</v>
      </c>
      <c r="E962" s="85" t="s">
        <v>2659</v>
      </c>
      <c r="H962" s="35">
        <f>Gas!D42</f>
        <v>530000</v>
      </c>
      <c r="I962" s="35">
        <f>Gas!E42</f>
        <v>0</v>
      </c>
    </row>
    <row r="963" spans="4:9">
      <c r="D963" s="85" t="s">
        <v>2660</v>
      </c>
      <c r="E963" s="25" t="s">
        <v>2661</v>
      </c>
      <c r="H963" s="35">
        <f>Kran!F49</f>
        <v>65000</v>
      </c>
      <c r="I963" s="35">
        <f>Kran!G49</f>
        <v>65000</v>
      </c>
    </row>
    <row r="964" spans="4:9">
      <c r="D964" s="86" t="s">
        <v>2665</v>
      </c>
      <c r="E964" s="86" t="s">
        <v>2663</v>
      </c>
      <c r="H964" s="35">
        <f>Kran!F26</f>
        <v>2500</v>
      </c>
      <c r="I964" s="35">
        <f>Kran!G26</f>
        <v>2500</v>
      </c>
    </row>
    <row r="965" spans="4:9">
      <c r="D965" s="86" t="s">
        <v>2666</v>
      </c>
      <c r="E965" s="86" t="s">
        <v>2664</v>
      </c>
      <c r="H965" s="35">
        <f>Kran!F27</f>
        <v>2500</v>
      </c>
      <c r="I965" s="35">
        <f>Kran!G27</f>
        <v>2500</v>
      </c>
    </row>
    <row r="966" spans="4:9">
      <c r="D966" s="108" t="s">
        <v>351</v>
      </c>
      <c r="E966" s="84" t="s">
        <v>350</v>
      </c>
      <c r="F966" s="84"/>
      <c r="G966" s="84"/>
      <c r="H966" s="100">
        <f>Tabung!F42</f>
        <v>1100000</v>
      </c>
      <c r="I966" s="100">
        <f>Tabung!G42</f>
        <v>1100000</v>
      </c>
    </row>
    <row r="967" spans="4:9">
      <c r="D967" s="99" t="s">
        <v>2673</v>
      </c>
      <c r="E967" s="84" t="s">
        <v>2672</v>
      </c>
      <c r="F967" s="84"/>
      <c r="G967" s="84"/>
      <c r="H967" s="100">
        <f>Tabung!F36+Gas!D109</f>
        <v>1050000</v>
      </c>
      <c r="I967" s="100">
        <f>Tabung!G36+Gas!E109</f>
        <v>1050000</v>
      </c>
    </row>
    <row r="968" spans="4:9">
      <c r="D968" s="99" t="s">
        <v>2674</v>
      </c>
      <c r="E968" s="84" t="s">
        <v>2675</v>
      </c>
      <c r="F968" s="84"/>
      <c r="G968" s="84"/>
      <c r="H968" s="100">
        <f>Tabung!F36+Gas!D134</f>
        <v>1025000</v>
      </c>
      <c r="I968" s="100">
        <f>Tabung!G36+Gas!E134</f>
        <v>1025000</v>
      </c>
    </row>
    <row r="969" spans="4:9">
      <c r="D969" s="99" t="s">
        <v>2677</v>
      </c>
      <c r="E969" s="84" t="s">
        <v>2676</v>
      </c>
      <c r="F969" s="84"/>
      <c r="G969" s="84"/>
      <c r="H969" s="100">
        <f>Tabung!F50</f>
        <v>14500000</v>
      </c>
      <c r="I969" s="100">
        <f>Tabung!G50</f>
        <v>14700000</v>
      </c>
    </row>
    <row r="970" spans="4:9">
      <c r="D970" s="99" t="s">
        <v>2679</v>
      </c>
      <c r="E970" s="84" t="s">
        <v>2678</v>
      </c>
      <c r="F970" s="84"/>
      <c r="G970" s="84"/>
      <c r="H970" s="100">
        <f>Tabung!F36+Gas!D110</f>
        <v>1275000</v>
      </c>
      <c r="I970" s="100">
        <f>Tabung!G36+Gas!E110</f>
        <v>1275000</v>
      </c>
    </row>
    <row r="971" spans="4:9">
      <c r="D971" s="99" t="s">
        <v>2681</v>
      </c>
      <c r="E971" s="84" t="s">
        <v>2680</v>
      </c>
      <c r="F971" s="84"/>
      <c r="G971" s="84"/>
      <c r="H971" s="100">
        <f>Tabung!F51</f>
        <v>18500000</v>
      </c>
      <c r="I971" s="100">
        <f>Tabung!G51</f>
        <v>18700000</v>
      </c>
    </row>
    <row r="972" spans="4:9">
      <c r="D972" s="99" t="s">
        <v>2683</v>
      </c>
      <c r="E972" s="84" t="s">
        <v>2682</v>
      </c>
      <c r="F972" s="84"/>
      <c r="G972" s="84"/>
      <c r="H972" s="100">
        <f>Tabung!F36+Gas!D111</f>
        <v>935000</v>
      </c>
      <c r="I972" s="100">
        <f>Tabung!G36+Gas!E111</f>
        <v>940000</v>
      </c>
    </row>
    <row r="973" spans="4:9">
      <c r="D973" s="99" t="s">
        <v>2685</v>
      </c>
      <c r="E973" s="84" t="s">
        <v>2684</v>
      </c>
      <c r="F973" s="84"/>
      <c r="G973" s="84"/>
      <c r="H973" s="100">
        <f>Tabung!F36+Kran!F55+Gas!D125</f>
        <v>4685000</v>
      </c>
      <c r="I973" s="100">
        <f>Tabung!G36+Kran!G55+Gas!E125</f>
        <v>4685000</v>
      </c>
    </row>
    <row r="974" spans="4:9">
      <c r="D974" s="99" t="s">
        <v>2686</v>
      </c>
      <c r="E974" s="84" t="s">
        <v>2546</v>
      </c>
      <c r="F974" s="84"/>
      <c r="G974" s="84"/>
      <c r="H974" s="100">
        <f>Liquid!F14</f>
        <v>457500</v>
      </c>
      <c r="I974" s="100">
        <f>Liquid!G14</f>
        <v>457500</v>
      </c>
    </row>
    <row r="975" spans="4:9">
      <c r="D975" s="99" t="s">
        <v>2573</v>
      </c>
      <c r="E975" s="84" t="s">
        <v>2571</v>
      </c>
      <c r="F975" s="84"/>
      <c r="G975" s="84"/>
      <c r="H975" s="100">
        <f>Kran!F9</f>
        <v>15000</v>
      </c>
      <c r="I975" s="100">
        <f>Kran!G9</f>
        <v>15000</v>
      </c>
    </row>
    <row r="976" spans="4:9">
      <c r="D976" s="99" t="s">
        <v>2689</v>
      </c>
      <c r="E976" s="84" t="s">
        <v>2688</v>
      </c>
      <c r="F976" s="84"/>
      <c r="G976" s="84"/>
      <c r="H976" s="100">
        <v>0</v>
      </c>
      <c r="I976" s="100">
        <v>400000</v>
      </c>
    </row>
    <row r="977" spans="4:9">
      <c r="D977" s="99" t="s">
        <v>2691</v>
      </c>
      <c r="E977" s="84" t="s">
        <v>2690</v>
      </c>
      <c r="F977" s="84"/>
      <c r="G977" s="84"/>
      <c r="H977" s="100">
        <v>0</v>
      </c>
      <c r="I977" s="100">
        <f>Kran!G37</f>
        <v>220000</v>
      </c>
    </row>
  </sheetData>
  <autoFilter ref="A6:J6" xr:uid="{C81E8DE4-4173-43F8-AB6D-6989DB2FD79C}"/>
  <mergeCells count="917">
    <mergeCell ref="E904:F904"/>
    <mergeCell ref="E861:F861"/>
    <mergeCell ref="E856:F856"/>
    <mergeCell ref="E857:F857"/>
    <mergeCell ref="E862:F862"/>
    <mergeCell ref="E863:F863"/>
    <mergeCell ref="E864:F864"/>
    <mergeCell ref="E849:F849"/>
    <mergeCell ref="E850:F850"/>
    <mergeCell ref="E851:F851"/>
    <mergeCell ref="E852:F852"/>
    <mergeCell ref="E853:F853"/>
    <mergeCell ref="E860:F860"/>
    <mergeCell ref="E874:F874"/>
    <mergeCell ref="E875:F875"/>
    <mergeCell ref="E876:F876"/>
    <mergeCell ref="E865:F865"/>
    <mergeCell ref="E866:F866"/>
    <mergeCell ref="E867:F867"/>
    <mergeCell ref="E868:F868"/>
    <mergeCell ref="E869:F869"/>
    <mergeCell ref="E870:F870"/>
    <mergeCell ref="E871:F871"/>
    <mergeCell ref="E872:F872"/>
    <mergeCell ref="E844:F844"/>
    <mergeCell ref="E845:F845"/>
    <mergeCell ref="E846:F846"/>
    <mergeCell ref="E847:F847"/>
    <mergeCell ref="E848:F848"/>
    <mergeCell ref="E854:F854"/>
    <mergeCell ref="E855:F855"/>
    <mergeCell ref="E858:F858"/>
    <mergeCell ref="E859:F859"/>
    <mergeCell ref="E830:F830"/>
    <mergeCell ref="E825:F825"/>
    <mergeCell ref="E826:F826"/>
    <mergeCell ref="E827:F827"/>
    <mergeCell ref="E828:F828"/>
    <mergeCell ref="E829:F829"/>
    <mergeCell ref="E831:F831"/>
    <mergeCell ref="E832:F832"/>
    <mergeCell ref="E833:F833"/>
    <mergeCell ref="E839:F839"/>
    <mergeCell ref="E840:F840"/>
    <mergeCell ref="E841:F841"/>
    <mergeCell ref="E842:F842"/>
    <mergeCell ref="E843:F843"/>
    <mergeCell ref="E834:F834"/>
    <mergeCell ref="E835:F835"/>
    <mergeCell ref="E836:F836"/>
    <mergeCell ref="E837:F837"/>
    <mergeCell ref="E838:F838"/>
    <mergeCell ref="E822:F822"/>
    <mergeCell ref="E823:F823"/>
    <mergeCell ref="E824:F824"/>
    <mergeCell ref="E816:F816"/>
    <mergeCell ref="E817:F817"/>
    <mergeCell ref="E818:F818"/>
    <mergeCell ref="E819:F819"/>
    <mergeCell ref="E803:F803"/>
    <mergeCell ref="E808:F808"/>
    <mergeCell ref="E812:F812"/>
    <mergeCell ref="E813:F813"/>
    <mergeCell ref="E814:F814"/>
    <mergeCell ref="E815:F815"/>
    <mergeCell ref="E809:F809"/>
    <mergeCell ref="E810:F810"/>
    <mergeCell ref="E811:F811"/>
    <mergeCell ref="E820:F820"/>
    <mergeCell ref="E799:F799"/>
    <mergeCell ref="E800:F800"/>
    <mergeCell ref="E801:F801"/>
    <mergeCell ref="E802:F802"/>
    <mergeCell ref="E806:F806"/>
    <mergeCell ref="E807:F807"/>
    <mergeCell ref="E804:F804"/>
    <mergeCell ref="E805:F805"/>
    <mergeCell ref="E821:F821"/>
    <mergeCell ref="E792:F792"/>
    <mergeCell ref="E793:F793"/>
    <mergeCell ref="E794:F794"/>
    <mergeCell ref="E795:F795"/>
    <mergeCell ref="E796:F796"/>
    <mergeCell ref="E797:F797"/>
    <mergeCell ref="E798:F798"/>
    <mergeCell ref="E776:F776"/>
    <mergeCell ref="E777:F777"/>
    <mergeCell ref="E778:F778"/>
    <mergeCell ref="E779:F779"/>
    <mergeCell ref="E780:F780"/>
    <mergeCell ref="E781:F781"/>
    <mergeCell ref="E782:F782"/>
    <mergeCell ref="E783:F783"/>
    <mergeCell ref="E784:F784"/>
    <mergeCell ref="E785:F785"/>
    <mergeCell ref="E789:F789"/>
    <mergeCell ref="E790:F790"/>
    <mergeCell ref="E791:F791"/>
    <mergeCell ref="E786:F786"/>
    <mergeCell ref="E787:F787"/>
    <mergeCell ref="E788:F788"/>
    <mergeCell ref="E771:F771"/>
    <mergeCell ref="E772:F772"/>
    <mergeCell ref="E773:F773"/>
    <mergeCell ref="E774:F774"/>
    <mergeCell ref="E775:F775"/>
    <mergeCell ref="E768:F768"/>
    <mergeCell ref="E769:F769"/>
    <mergeCell ref="E770:F770"/>
    <mergeCell ref="E745:F745"/>
    <mergeCell ref="E746:F746"/>
    <mergeCell ref="E747:F747"/>
    <mergeCell ref="E748:F748"/>
    <mergeCell ref="E757:F757"/>
    <mergeCell ref="E763:F763"/>
    <mergeCell ref="E764:F764"/>
    <mergeCell ref="E765:F765"/>
    <mergeCell ref="E766:F766"/>
    <mergeCell ref="E767:F767"/>
    <mergeCell ref="E758:F758"/>
    <mergeCell ref="E759:F759"/>
    <mergeCell ref="E760:F760"/>
    <mergeCell ref="E761:F761"/>
    <mergeCell ref="E762:F762"/>
    <mergeCell ref="E742:F742"/>
    <mergeCell ref="E743:F743"/>
    <mergeCell ref="E744:F744"/>
    <mergeCell ref="E754:F754"/>
    <mergeCell ref="E755:F755"/>
    <mergeCell ref="E756:F756"/>
    <mergeCell ref="E749:F749"/>
    <mergeCell ref="E750:F750"/>
    <mergeCell ref="E751:F751"/>
    <mergeCell ref="E752:F752"/>
    <mergeCell ref="E753:F753"/>
    <mergeCell ref="E725:F725"/>
    <mergeCell ref="E726:F726"/>
    <mergeCell ref="E727:F727"/>
    <mergeCell ref="E732:F732"/>
    <mergeCell ref="E736:F736"/>
    <mergeCell ref="E737:F737"/>
    <mergeCell ref="E738:F738"/>
    <mergeCell ref="E740:F740"/>
    <mergeCell ref="E741:F741"/>
    <mergeCell ref="E709:F709"/>
    <mergeCell ref="E710:F710"/>
    <mergeCell ref="E712:F712"/>
    <mergeCell ref="E713:F713"/>
    <mergeCell ref="E739:F739"/>
    <mergeCell ref="E733:F733"/>
    <mergeCell ref="E734:F734"/>
    <mergeCell ref="E735:F735"/>
    <mergeCell ref="E715:F715"/>
    <mergeCell ref="E716:F716"/>
    <mergeCell ref="E711:F711"/>
    <mergeCell ref="E720:F720"/>
    <mergeCell ref="E721:F721"/>
    <mergeCell ref="E722:F722"/>
    <mergeCell ref="E717:F717"/>
    <mergeCell ref="E718:F718"/>
    <mergeCell ref="E719:F719"/>
    <mergeCell ref="E728:F728"/>
    <mergeCell ref="E729:F729"/>
    <mergeCell ref="E730:F730"/>
    <mergeCell ref="E731:F731"/>
    <mergeCell ref="E714:F714"/>
    <mergeCell ref="E723:F723"/>
    <mergeCell ref="E724:F724"/>
    <mergeCell ref="E685:F685"/>
    <mergeCell ref="E686:F686"/>
    <mergeCell ref="E689:F689"/>
    <mergeCell ref="E693:F693"/>
    <mergeCell ref="E702:F702"/>
    <mergeCell ref="E703:F703"/>
    <mergeCell ref="E704:F704"/>
    <mergeCell ref="E705:F705"/>
    <mergeCell ref="E706:F706"/>
    <mergeCell ref="E708:F708"/>
    <mergeCell ref="E663:F663"/>
    <mergeCell ref="E664:F664"/>
    <mergeCell ref="E665:F665"/>
    <mergeCell ref="E666:F666"/>
    <mergeCell ref="E659:F659"/>
    <mergeCell ref="E660:F660"/>
    <mergeCell ref="E661:F661"/>
    <mergeCell ref="E662:F662"/>
    <mergeCell ref="E671:F671"/>
    <mergeCell ref="E672:F672"/>
    <mergeCell ref="E673:F673"/>
    <mergeCell ref="E667:F667"/>
    <mergeCell ref="E668:F668"/>
    <mergeCell ref="E669:F669"/>
    <mergeCell ref="E670:F670"/>
    <mergeCell ref="E674:F674"/>
    <mergeCell ref="E675:F675"/>
    <mergeCell ref="E676:F676"/>
    <mergeCell ref="E677:F677"/>
    <mergeCell ref="E678:F678"/>
    <mergeCell ref="E697:F697"/>
    <mergeCell ref="E698:F698"/>
    <mergeCell ref="E699:F699"/>
    <mergeCell ref="E647:F647"/>
    <mergeCell ref="E648:F648"/>
    <mergeCell ref="E645:F645"/>
    <mergeCell ref="E654:F654"/>
    <mergeCell ref="E655:F655"/>
    <mergeCell ref="E656:F656"/>
    <mergeCell ref="E657:F657"/>
    <mergeCell ref="E701:F701"/>
    <mergeCell ref="E707:F707"/>
    <mergeCell ref="E700:F700"/>
    <mergeCell ref="E694:F694"/>
    <mergeCell ref="E695:F695"/>
    <mergeCell ref="E696:F696"/>
    <mergeCell ref="E690:F690"/>
    <mergeCell ref="E691:F691"/>
    <mergeCell ref="E692:F692"/>
    <mergeCell ref="E679:F679"/>
    <mergeCell ref="E680:F680"/>
    <mergeCell ref="E681:F681"/>
    <mergeCell ref="E687:F687"/>
    <mergeCell ref="E688:F688"/>
    <mergeCell ref="E682:F682"/>
    <mergeCell ref="E683:F683"/>
    <mergeCell ref="E684:F684"/>
    <mergeCell ref="E658:F658"/>
    <mergeCell ref="E649:F649"/>
    <mergeCell ref="E650:F650"/>
    <mergeCell ref="E651:F651"/>
    <mergeCell ref="E652:F652"/>
    <mergeCell ref="E653:F653"/>
    <mergeCell ref="E628:F628"/>
    <mergeCell ref="E629:F629"/>
    <mergeCell ref="E634:F634"/>
    <mergeCell ref="E635:F635"/>
    <mergeCell ref="E636:F636"/>
    <mergeCell ref="E630:F630"/>
    <mergeCell ref="E631:F631"/>
    <mergeCell ref="E632:F632"/>
    <mergeCell ref="E633:F633"/>
    <mergeCell ref="E640:F640"/>
    <mergeCell ref="E641:F641"/>
    <mergeCell ref="E642:F642"/>
    <mergeCell ref="E643:F643"/>
    <mergeCell ref="E637:F637"/>
    <mergeCell ref="E638:F638"/>
    <mergeCell ref="E639:F639"/>
    <mergeCell ref="E644:F644"/>
    <mergeCell ref="E646:F646"/>
    <mergeCell ref="E621:F621"/>
    <mergeCell ref="E622:F622"/>
    <mergeCell ref="E623:F623"/>
    <mergeCell ref="E624:F624"/>
    <mergeCell ref="E615:F615"/>
    <mergeCell ref="E616:F616"/>
    <mergeCell ref="E617:F617"/>
    <mergeCell ref="E618:F618"/>
    <mergeCell ref="E619:F619"/>
    <mergeCell ref="E590:F590"/>
    <mergeCell ref="E591:F591"/>
    <mergeCell ref="E592:F592"/>
    <mergeCell ref="E625:F625"/>
    <mergeCell ref="E626:F626"/>
    <mergeCell ref="E627:F627"/>
    <mergeCell ref="E598:F598"/>
    <mergeCell ref="E599:F599"/>
    <mergeCell ref="E604:F604"/>
    <mergeCell ref="E605:F605"/>
    <mergeCell ref="E600:F600"/>
    <mergeCell ref="E601:F601"/>
    <mergeCell ref="E602:F602"/>
    <mergeCell ref="E603:F603"/>
    <mergeCell ref="E606:F606"/>
    <mergeCell ref="E610:F610"/>
    <mergeCell ref="E611:F611"/>
    <mergeCell ref="E612:F612"/>
    <mergeCell ref="E613:F613"/>
    <mergeCell ref="E614:F614"/>
    <mergeCell ref="E607:F607"/>
    <mergeCell ref="E608:F608"/>
    <mergeCell ref="E609:F609"/>
    <mergeCell ref="E620:F620"/>
    <mergeCell ref="E597:F597"/>
    <mergeCell ref="E572:F572"/>
    <mergeCell ref="E573:F573"/>
    <mergeCell ref="E568:F568"/>
    <mergeCell ref="E579:F579"/>
    <mergeCell ref="E580:F580"/>
    <mergeCell ref="E581:F581"/>
    <mergeCell ref="E582:F582"/>
    <mergeCell ref="E583:F583"/>
    <mergeCell ref="E574:F574"/>
    <mergeCell ref="E575:F575"/>
    <mergeCell ref="E576:F576"/>
    <mergeCell ref="E577:F577"/>
    <mergeCell ref="E578:F578"/>
    <mergeCell ref="E587:F587"/>
    <mergeCell ref="E588:F588"/>
    <mergeCell ref="E589:F589"/>
    <mergeCell ref="E584:F584"/>
    <mergeCell ref="E585:F585"/>
    <mergeCell ref="E586:F586"/>
    <mergeCell ref="E593:F593"/>
    <mergeCell ref="E594:F594"/>
    <mergeCell ref="E595:F595"/>
    <mergeCell ref="E596:F596"/>
    <mergeCell ref="E565:F565"/>
    <mergeCell ref="E566:F566"/>
    <mergeCell ref="E567:F567"/>
    <mergeCell ref="E569:F569"/>
    <mergeCell ref="E570:F570"/>
    <mergeCell ref="E571:F571"/>
    <mergeCell ref="E542:F542"/>
    <mergeCell ref="E543:F543"/>
    <mergeCell ref="E538:F538"/>
    <mergeCell ref="E539:F539"/>
    <mergeCell ref="E540:F540"/>
    <mergeCell ref="E541:F541"/>
    <mergeCell ref="E561:F561"/>
    <mergeCell ref="E562:F562"/>
    <mergeCell ref="E563:F563"/>
    <mergeCell ref="E564:F564"/>
    <mergeCell ref="E556:F556"/>
    <mergeCell ref="E557:F557"/>
    <mergeCell ref="E558:F558"/>
    <mergeCell ref="E559:F559"/>
    <mergeCell ref="E560:F560"/>
    <mergeCell ref="E544:F544"/>
    <mergeCell ref="E545:F545"/>
    <mergeCell ref="E546:F546"/>
    <mergeCell ref="E552:F552"/>
    <mergeCell ref="E553:F553"/>
    <mergeCell ref="E555:F555"/>
    <mergeCell ref="E547:F547"/>
    <mergeCell ref="E548:F548"/>
    <mergeCell ref="E549:F549"/>
    <mergeCell ref="E550:F550"/>
    <mergeCell ref="E551:F551"/>
    <mergeCell ref="E533:F533"/>
    <mergeCell ref="E534:F534"/>
    <mergeCell ref="E535:F535"/>
    <mergeCell ref="E536:F536"/>
    <mergeCell ref="E537:F537"/>
    <mergeCell ref="E530:F530"/>
    <mergeCell ref="E531:F531"/>
    <mergeCell ref="E532:F532"/>
    <mergeCell ref="E508:F508"/>
    <mergeCell ref="E509:F509"/>
    <mergeCell ref="E510:F510"/>
    <mergeCell ref="E511:F511"/>
    <mergeCell ref="E512:F512"/>
    <mergeCell ref="E514:F514"/>
    <mergeCell ref="E515:F515"/>
    <mergeCell ref="E516:F516"/>
    <mergeCell ref="E517:F517"/>
    <mergeCell ref="E523:F523"/>
    <mergeCell ref="E524:F524"/>
    <mergeCell ref="E525:F525"/>
    <mergeCell ref="E526:F526"/>
    <mergeCell ref="E527:F527"/>
    <mergeCell ref="E518:F518"/>
    <mergeCell ref="E519:F519"/>
    <mergeCell ref="E520:F520"/>
    <mergeCell ref="E521:F521"/>
    <mergeCell ref="E522:F522"/>
    <mergeCell ref="E497:F497"/>
    <mergeCell ref="E503:F503"/>
    <mergeCell ref="E504:F504"/>
    <mergeCell ref="E505:F505"/>
    <mergeCell ref="E528:F528"/>
    <mergeCell ref="E529:F529"/>
    <mergeCell ref="E506:F506"/>
    <mergeCell ref="E507:F507"/>
    <mergeCell ref="E498:F498"/>
    <mergeCell ref="E499:F499"/>
    <mergeCell ref="E500:F500"/>
    <mergeCell ref="E501:F501"/>
    <mergeCell ref="E502:F502"/>
    <mergeCell ref="E513:F513"/>
    <mergeCell ref="E478:F478"/>
    <mergeCell ref="E479:F479"/>
    <mergeCell ref="E480:F480"/>
    <mergeCell ref="E481:F481"/>
    <mergeCell ref="E482:F482"/>
    <mergeCell ref="E493:F493"/>
    <mergeCell ref="E494:F494"/>
    <mergeCell ref="E495:F495"/>
    <mergeCell ref="E496:F496"/>
    <mergeCell ref="E488:F488"/>
    <mergeCell ref="E489:F489"/>
    <mergeCell ref="E490:F490"/>
    <mergeCell ref="E491:F491"/>
    <mergeCell ref="E492:F492"/>
    <mergeCell ref="E483:F483"/>
    <mergeCell ref="E484:F484"/>
    <mergeCell ref="E485:F485"/>
    <mergeCell ref="E486:F486"/>
    <mergeCell ref="E487:F487"/>
    <mergeCell ref="E473:F473"/>
    <mergeCell ref="E474:F474"/>
    <mergeCell ref="E475:F475"/>
    <mergeCell ref="E476:F476"/>
    <mergeCell ref="E477:F477"/>
    <mergeCell ref="E470:F470"/>
    <mergeCell ref="E471:F471"/>
    <mergeCell ref="E472:F472"/>
    <mergeCell ref="E450:F450"/>
    <mergeCell ref="E460:F460"/>
    <mergeCell ref="E466:F466"/>
    <mergeCell ref="E467:F467"/>
    <mergeCell ref="E468:F468"/>
    <mergeCell ref="E469:F469"/>
    <mergeCell ref="E461:F461"/>
    <mergeCell ref="E462:F462"/>
    <mergeCell ref="E463:F463"/>
    <mergeCell ref="E464:F464"/>
    <mergeCell ref="E465:F465"/>
    <mergeCell ref="E441:F441"/>
    <mergeCell ref="E442:F442"/>
    <mergeCell ref="E443:F443"/>
    <mergeCell ref="E444:F444"/>
    <mergeCell ref="E445:F445"/>
    <mergeCell ref="E456:F456"/>
    <mergeCell ref="E457:F457"/>
    <mergeCell ref="E458:F458"/>
    <mergeCell ref="E459:F459"/>
    <mergeCell ref="E451:F451"/>
    <mergeCell ref="E452:F452"/>
    <mergeCell ref="E453:F453"/>
    <mergeCell ref="E454:F454"/>
    <mergeCell ref="E455:F455"/>
    <mergeCell ref="E446:F446"/>
    <mergeCell ref="E447:F447"/>
    <mergeCell ref="E448:F448"/>
    <mergeCell ref="E449:F449"/>
    <mergeCell ref="E429:F429"/>
    <mergeCell ref="E430:F430"/>
    <mergeCell ref="E428:F428"/>
    <mergeCell ref="E436:F436"/>
    <mergeCell ref="E437:F437"/>
    <mergeCell ref="E438:F438"/>
    <mergeCell ref="E439:F439"/>
    <mergeCell ref="E440:F440"/>
    <mergeCell ref="E431:F431"/>
    <mergeCell ref="E432:F432"/>
    <mergeCell ref="E433:F433"/>
    <mergeCell ref="E434:F434"/>
    <mergeCell ref="E435:F435"/>
    <mergeCell ref="E419:F419"/>
    <mergeCell ref="E420:F420"/>
    <mergeCell ref="E421:F421"/>
    <mergeCell ref="E422:F422"/>
    <mergeCell ref="E423:F423"/>
    <mergeCell ref="E414:F414"/>
    <mergeCell ref="E415:F415"/>
    <mergeCell ref="E416:F416"/>
    <mergeCell ref="E417:F417"/>
    <mergeCell ref="E418:F418"/>
    <mergeCell ref="E424:F424"/>
    <mergeCell ref="E425:F425"/>
    <mergeCell ref="E426:F426"/>
    <mergeCell ref="E427:F427"/>
    <mergeCell ref="E399:F399"/>
    <mergeCell ref="E400:F400"/>
    <mergeCell ref="E394:F394"/>
    <mergeCell ref="E395:F395"/>
    <mergeCell ref="E396:F396"/>
    <mergeCell ref="E397:F397"/>
    <mergeCell ref="E398:F398"/>
    <mergeCell ref="E401:F401"/>
    <mergeCell ref="E402:F402"/>
    <mergeCell ref="E403:F403"/>
    <mergeCell ref="E409:F409"/>
    <mergeCell ref="E410:F410"/>
    <mergeCell ref="E411:F411"/>
    <mergeCell ref="E412:F412"/>
    <mergeCell ref="E413:F413"/>
    <mergeCell ref="E404:F404"/>
    <mergeCell ref="E405:F405"/>
    <mergeCell ref="E406:F406"/>
    <mergeCell ref="E407:F407"/>
    <mergeCell ref="E408:F408"/>
    <mergeCell ref="E379:F379"/>
    <mergeCell ref="E380:F380"/>
    <mergeCell ref="E381:F381"/>
    <mergeCell ref="E382:F382"/>
    <mergeCell ref="E383:F383"/>
    <mergeCell ref="E375:F375"/>
    <mergeCell ref="E376:F376"/>
    <mergeCell ref="E377:F377"/>
    <mergeCell ref="E378:F378"/>
    <mergeCell ref="E389:F389"/>
    <mergeCell ref="E390:F390"/>
    <mergeCell ref="E391:F391"/>
    <mergeCell ref="E392:F392"/>
    <mergeCell ref="E393:F393"/>
    <mergeCell ref="E384:F384"/>
    <mergeCell ref="E385:F385"/>
    <mergeCell ref="E386:F386"/>
    <mergeCell ref="E387:F387"/>
    <mergeCell ref="E388:F388"/>
    <mergeCell ref="E358:F358"/>
    <mergeCell ref="E359:F359"/>
    <mergeCell ref="E360:F360"/>
    <mergeCell ref="E363:F363"/>
    <mergeCell ref="E364:F364"/>
    <mergeCell ref="E365:F365"/>
    <mergeCell ref="E366:F366"/>
    <mergeCell ref="E367:F367"/>
    <mergeCell ref="E361:F361"/>
    <mergeCell ref="E362:F362"/>
    <mergeCell ref="E373:F373"/>
    <mergeCell ref="E368:F368"/>
    <mergeCell ref="E369:F369"/>
    <mergeCell ref="E370:F370"/>
    <mergeCell ref="E371:F371"/>
    <mergeCell ref="E372:F372"/>
    <mergeCell ref="E374:F374"/>
    <mergeCell ref="E336:F336"/>
    <mergeCell ref="E337:F337"/>
    <mergeCell ref="E343:F343"/>
    <mergeCell ref="E344:F344"/>
    <mergeCell ref="E345:F345"/>
    <mergeCell ref="E346:F346"/>
    <mergeCell ref="E347:F347"/>
    <mergeCell ref="E338:F338"/>
    <mergeCell ref="E339:F339"/>
    <mergeCell ref="E340:F340"/>
    <mergeCell ref="E341:F341"/>
    <mergeCell ref="E342:F342"/>
    <mergeCell ref="E353:F353"/>
    <mergeCell ref="E354:F354"/>
    <mergeCell ref="E355:F355"/>
    <mergeCell ref="E356:F356"/>
    <mergeCell ref="E357:F357"/>
    <mergeCell ref="E348:F348"/>
    <mergeCell ref="E349:F349"/>
    <mergeCell ref="E350:F350"/>
    <mergeCell ref="E351:F351"/>
    <mergeCell ref="E352:F352"/>
    <mergeCell ref="E324:F324"/>
    <mergeCell ref="E325:F325"/>
    <mergeCell ref="E326:F326"/>
    <mergeCell ref="E327:F327"/>
    <mergeCell ref="E335:F335"/>
    <mergeCell ref="E320:F320"/>
    <mergeCell ref="E321:F321"/>
    <mergeCell ref="E322:F322"/>
    <mergeCell ref="E323:F323"/>
    <mergeCell ref="E333:F333"/>
    <mergeCell ref="E334:F334"/>
    <mergeCell ref="E328:F328"/>
    <mergeCell ref="E329:F329"/>
    <mergeCell ref="E330:F330"/>
    <mergeCell ref="E331:F331"/>
    <mergeCell ref="E332:F332"/>
    <mergeCell ref="E303:F303"/>
    <mergeCell ref="E304:F304"/>
    <mergeCell ref="E305:F305"/>
    <mergeCell ref="E317:F317"/>
    <mergeCell ref="E318:F318"/>
    <mergeCell ref="E319:F319"/>
    <mergeCell ref="E314:F314"/>
    <mergeCell ref="E315:F315"/>
    <mergeCell ref="E316:F316"/>
    <mergeCell ref="E311:F311"/>
    <mergeCell ref="E312:F312"/>
    <mergeCell ref="E313:F313"/>
    <mergeCell ref="E298:F298"/>
    <mergeCell ref="E299:F299"/>
    <mergeCell ref="E300:F300"/>
    <mergeCell ref="E301:F301"/>
    <mergeCell ref="E302:F302"/>
    <mergeCell ref="E293:F293"/>
    <mergeCell ref="E294:F294"/>
    <mergeCell ref="E295:F295"/>
    <mergeCell ref="E296:F296"/>
    <mergeCell ref="E297:F297"/>
    <mergeCell ref="E272:F272"/>
    <mergeCell ref="E263:F263"/>
    <mergeCell ref="E264:F264"/>
    <mergeCell ref="E265:F265"/>
    <mergeCell ref="E266:F266"/>
    <mergeCell ref="E267:F267"/>
    <mergeCell ref="E308:F308"/>
    <mergeCell ref="E309:F309"/>
    <mergeCell ref="E310:F310"/>
    <mergeCell ref="E306:F306"/>
    <mergeCell ref="E307:F307"/>
    <mergeCell ref="E280:F280"/>
    <mergeCell ref="E281:F281"/>
    <mergeCell ref="E282:F282"/>
    <mergeCell ref="E288:F288"/>
    <mergeCell ref="E289:F289"/>
    <mergeCell ref="E290:F290"/>
    <mergeCell ref="E291:F291"/>
    <mergeCell ref="E292:F292"/>
    <mergeCell ref="E283:F283"/>
    <mergeCell ref="E284:F284"/>
    <mergeCell ref="E285:F285"/>
    <mergeCell ref="E286:F286"/>
    <mergeCell ref="E287:F287"/>
    <mergeCell ref="E278:F278"/>
    <mergeCell ref="E279:F279"/>
    <mergeCell ref="E273:F273"/>
    <mergeCell ref="E274:F274"/>
    <mergeCell ref="E275:F275"/>
    <mergeCell ref="E276:F276"/>
    <mergeCell ref="E277:F277"/>
    <mergeCell ref="E252:F252"/>
    <mergeCell ref="E243:F243"/>
    <mergeCell ref="E244:F244"/>
    <mergeCell ref="E245:F245"/>
    <mergeCell ref="E246:F246"/>
    <mergeCell ref="E247:F247"/>
    <mergeCell ref="E261:F261"/>
    <mergeCell ref="E262:F262"/>
    <mergeCell ref="E253:F253"/>
    <mergeCell ref="E254:F254"/>
    <mergeCell ref="E255:F255"/>
    <mergeCell ref="E256:F256"/>
    <mergeCell ref="E257:F257"/>
    <mergeCell ref="E268:F268"/>
    <mergeCell ref="E269:F269"/>
    <mergeCell ref="E270:F270"/>
    <mergeCell ref="E271:F271"/>
    <mergeCell ref="E258:F258"/>
    <mergeCell ref="E259:F259"/>
    <mergeCell ref="E260:F260"/>
    <mergeCell ref="E248:F248"/>
    <mergeCell ref="E249:F249"/>
    <mergeCell ref="E250:F250"/>
    <mergeCell ref="E251:F251"/>
    <mergeCell ref="E228:F228"/>
    <mergeCell ref="E229:F229"/>
    <mergeCell ref="E230:F230"/>
    <mergeCell ref="E231:F231"/>
    <mergeCell ref="E232:F232"/>
    <mergeCell ref="E238:F238"/>
    <mergeCell ref="E239:F239"/>
    <mergeCell ref="E240:F240"/>
    <mergeCell ref="E241:F241"/>
    <mergeCell ref="E242:F242"/>
    <mergeCell ref="E233:F233"/>
    <mergeCell ref="E234:F234"/>
    <mergeCell ref="E235:F235"/>
    <mergeCell ref="E236:F236"/>
    <mergeCell ref="E237:F237"/>
    <mergeCell ref="E224:F224"/>
    <mergeCell ref="E225:F225"/>
    <mergeCell ref="E226:F226"/>
    <mergeCell ref="E227:F227"/>
    <mergeCell ref="E213:F213"/>
    <mergeCell ref="E214:F214"/>
    <mergeCell ref="E212:F212"/>
    <mergeCell ref="E207:F207"/>
    <mergeCell ref="E208:F208"/>
    <mergeCell ref="E209:F209"/>
    <mergeCell ref="E210:F210"/>
    <mergeCell ref="E211:F211"/>
    <mergeCell ref="E219:F219"/>
    <mergeCell ref="E220:F220"/>
    <mergeCell ref="E221:F221"/>
    <mergeCell ref="E222:F222"/>
    <mergeCell ref="E223:F223"/>
    <mergeCell ref="E215:F215"/>
    <mergeCell ref="E216:F216"/>
    <mergeCell ref="E217:F217"/>
    <mergeCell ref="E218:F218"/>
    <mergeCell ref="E202:F202"/>
    <mergeCell ref="E203:F203"/>
    <mergeCell ref="E204:F204"/>
    <mergeCell ref="E205:F205"/>
    <mergeCell ref="E206:F206"/>
    <mergeCell ref="E198:F198"/>
    <mergeCell ref="E199:F199"/>
    <mergeCell ref="E200:F200"/>
    <mergeCell ref="E201:F201"/>
    <mergeCell ref="E186:F186"/>
    <mergeCell ref="E187:F187"/>
    <mergeCell ref="E195:F195"/>
    <mergeCell ref="E196:F196"/>
    <mergeCell ref="E197:F197"/>
    <mergeCell ref="E192:F192"/>
    <mergeCell ref="E193:F193"/>
    <mergeCell ref="E194:F194"/>
    <mergeCell ref="E174:F174"/>
    <mergeCell ref="E175:F175"/>
    <mergeCell ref="E176:F176"/>
    <mergeCell ref="E181:F181"/>
    <mergeCell ref="E182:F182"/>
    <mergeCell ref="E183:F183"/>
    <mergeCell ref="E184:F184"/>
    <mergeCell ref="E185:F185"/>
    <mergeCell ref="E177:F177"/>
    <mergeCell ref="E178:F178"/>
    <mergeCell ref="E179:F179"/>
    <mergeCell ref="E180:F180"/>
    <mergeCell ref="E188:F188"/>
    <mergeCell ref="E189:F189"/>
    <mergeCell ref="E190:F190"/>
    <mergeCell ref="E191:F191"/>
    <mergeCell ref="E166:F166"/>
    <mergeCell ref="E167:F167"/>
    <mergeCell ref="E163:F163"/>
    <mergeCell ref="E164:F164"/>
    <mergeCell ref="E165:F165"/>
    <mergeCell ref="E173:F173"/>
    <mergeCell ref="E168:F168"/>
    <mergeCell ref="E169:F169"/>
    <mergeCell ref="E170:F170"/>
    <mergeCell ref="E171:F171"/>
    <mergeCell ref="E172:F172"/>
    <mergeCell ref="E154:F154"/>
    <mergeCell ref="E147:F147"/>
    <mergeCell ref="E148:F148"/>
    <mergeCell ref="E149:F149"/>
    <mergeCell ref="E160:F160"/>
    <mergeCell ref="E161:F161"/>
    <mergeCell ref="E162:F162"/>
    <mergeCell ref="E155:F155"/>
    <mergeCell ref="E156:F156"/>
    <mergeCell ref="E157:F157"/>
    <mergeCell ref="E129:F129"/>
    <mergeCell ref="E130:F130"/>
    <mergeCell ref="E131:F131"/>
    <mergeCell ref="E132:F132"/>
    <mergeCell ref="E158:F158"/>
    <mergeCell ref="E159:F159"/>
    <mergeCell ref="E150:F150"/>
    <mergeCell ref="E151:F151"/>
    <mergeCell ref="E152:F152"/>
    <mergeCell ref="E153:F153"/>
    <mergeCell ref="E134:F134"/>
    <mergeCell ref="E135:F135"/>
    <mergeCell ref="E136:F136"/>
    <mergeCell ref="E137:F137"/>
    <mergeCell ref="E133:F133"/>
    <mergeCell ref="E143:F143"/>
    <mergeCell ref="E144:F144"/>
    <mergeCell ref="E145:F145"/>
    <mergeCell ref="E146:F146"/>
    <mergeCell ref="E138:F138"/>
    <mergeCell ref="E139:F139"/>
    <mergeCell ref="E140:F140"/>
    <mergeCell ref="E141:F141"/>
    <mergeCell ref="E142:F142"/>
    <mergeCell ref="E115:F115"/>
    <mergeCell ref="E116:F116"/>
    <mergeCell ref="E117:F117"/>
    <mergeCell ref="E118:F118"/>
    <mergeCell ref="E119:F119"/>
    <mergeCell ref="E111:F111"/>
    <mergeCell ref="E112:F112"/>
    <mergeCell ref="E113:F113"/>
    <mergeCell ref="E114:F114"/>
    <mergeCell ref="E124:F124"/>
    <mergeCell ref="E125:F125"/>
    <mergeCell ref="E126:F126"/>
    <mergeCell ref="E127:F127"/>
    <mergeCell ref="E128:F128"/>
    <mergeCell ref="E120:F120"/>
    <mergeCell ref="E121:F121"/>
    <mergeCell ref="E122:F122"/>
    <mergeCell ref="E123:F123"/>
    <mergeCell ref="E96:F96"/>
    <mergeCell ref="E97:F97"/>
    <mergeCell ref="E98:F98"/>
    <mergeCell ref="E99:F99"/>
    <mergeCell ref="E100:F100"/>
    <mergeCell ref="E93:F93"/>
    <mergeCell ref="E94:F94"/>
    <mergeCell ref="E95:F95"/>
    <mergeCell ref="E108:F108"/>
    <mergeCell ref="E109:F109"/>
    <mergeCell ref="E110:F110"/>
    <mergeCell ref="E106:F106"/>
    <mergeCell ref="E107:F107"/>
    <mergeCell ref="E101:F101"/>
    <mergeCell ref="E102:F102"/>
    <mergeCell ref="E103:F103"/>
    <mergeCell ref="E104:F104"/>
    <mergeCell ref="E105:F105"/>
    <mergeCell ref="E91:F91"/>
    <mergeCell ref="E92:F92"/>
    <mergeCell ref="E85:F85"/>
    <mergeCell ref="E86:F86"/>
    <mergeCell ref="E87:F87"/>
    <mergeCell ref="E88:F88"/>
    <mergeCell ref="E89:F89"/>
    <mergeCell ref="E74:F74"/>
    <mergeCell ref="E75:F75"/>
    <mergeCell ref="E90:F90"/>
    <mergeCell ref="E72:F72"/>
    <mergeCell ref="E73:F73"/>
    <mergeCell ref="E80:F80"/>
    <mergeCell ref="E81:F81"/>
    <mergeCell ref="E82:F82"/>
    <mergeCell ref="E83:F83"/>
    <mergeCell ref="E84:F84"/>
    <mergeCell ref="E76:F76"/>
    <mergeCell ref="E77:F77"/>
    <mergeCell ref="E78:F78"/>
    <mergeCell ref="E79:F79"/>
    <mergeCell ref="E31:F31"/>
    <mergeCell ref="E32:F32"/>
    <mergeCell ref="E41:F41"/>
    <mergeCell ref="E42:F42"/>
    <mergeCell ref="E43:F43"/>
    <mergeCell ref="E71:F71"/>
    <mergeCell ref="E67:F67"/>
    <mergeCell ref="E68:F68"/>
    <mergeCell ref="E69:F69"/>
    <mergeCell ref="E46:F46"/>
    <mergeCell ref="E47:F47"/>
    <mergeCell ref="E70:F70"/>
    <mergeCell ref="E62:F62"/>
    <mergeCell ref="E63:F63"/>
    <mergeCell ref="E64:F64"/>
    <mergeCell ref="E65:F65"/>
    <mergeCell ref="E48:F48"/>
    <mergeCell ref="E49:F49"/>
    <mergeCell ref="E50:F50"/>
    <mergeCell ref="E51:F51"/>
    <mergeCell ref="E55:F55"/>
    <mergeCell ref="E56:F56"/>
    <mergeCell ref="E57:F57"/>
    <mergeCell ref="E58:F58"/>
    <mergeCell ref="E45:F45"/>
    <mergeCell ref="E38:F38"/>
    <mergeCell ref="E39:F39"/>
    <mergeCell ref="E40:F40"/>
    <mergeCell ref="E66:F66"/>
    <mergeCell ref="E59:F59"/>
    <mergeCell ref="E60:F60"/>
    <mergeCell ref="E61:F61"/>
    <mergeCell ref="E34:F34"/>
    <mergeCell ref="E35:F35"/>
    <mergeCell ref="E36:F36"/>
    <mergeCell ref="E37:F37"/>
    <mergeCell ref="E44:F44"/>
    <mergeCell ref="E29:F29"/>
    <mergeCell ref="E30:F30"/>
    <mergeCell ref="E26:F26"/>
    <mergeCell ref="E27:F27"/>
    <mergeCell ref="E28:F28"/>
    <mergeCell ref="D2:I2"/>
    <mergeCell ref="D3:I3"/>
    <mergeCell ref="D1:I1"/>
    <mergeCell ref="E22:F22"/>
    <mergeCell ref="E23:F23"/>
    <mergeCell ref="E24:F24"/>
    <mergeCell ref="E25:F25"/>
    <mergeCell ref="E16:F16"/>
    <mergeCell ref="E17:F17"/>
    <mergeCell ref="E18:F18"/>
    <mergeCell ref="E19:F19"/>
    <mergeCell ref="E20:F20"/>
    <mergeCell ref="E908:F908"/>
    <mergeCell ref="E909:F909"/>
    <mergeCell ref="E910:F910"/>
    <mergeCell ref="E907:F907"/>
    <mergeCell ref="E903:F903"/>
    <mergeCell ref="E873:F873"/>
    <mergeCell ref="J856:J857"/>
    <mergeCell ref="B4:I4"/>
    <mergeCell ref="E5:F5"/>
    <mergeCell ref="H5:I5"/>
    <mergeCell ref="E11:F11"/>
    <mergeCell ref="E12:F12"/>
    <mergeCell ref="E13:F13"/>
    <mergeCell ref="E14:F14"/>
    <mergeCell ref="E15:F15"/>
    <mergeCell ref="E7:F7"/>
    <mergeCell ref="E8:F8"/>
    <mergeCell ref="E9:F9"/>
    <mergeCell ref="E10:F10"/>
    <mergeCell ref="E21:F21"/>
    <mergeCell ref="E52:F52"/>
    <mergeCell ref="E53:F53"/>
    <mergeCell ref="E54:F54"/>
    <mergeCell ref="E33:F33"/>
    <mergeCell ref="E911:F911"/>
    <mergeCell ref="E912:F912"/>
    <mergeCell ref="E913:F913"/>
    <mergeCell ref="E914:F914"/>
    <mergeCell ref="E915:F915"/>
    <mergeCell ref="E916:F916"/>
    <mergeCell ref="E917:F917"/>
    <mergeCell ref="E918:F918"/>
    <mergeCell ref="E919:F919"/>
    <mergeCell ref="E930:F930"/>
    <mergeCell ref="E931:F931"/>
    <mergeCell ref="E920:F920"/>
    <mergeCell ref="E922:F922"/>
    <mergeCell ref="E923:F923"/>
    <mergeCell ref="E924:F924"/>
    <mergeCell ref="E925:F925"/>
    <mergeCell ref="E926:F926"/>
    <mergeCell ref="E927:F927"/>
    <mergeCell ref="E928:F928"/>
    <mergeCell ref="E929:F929"/>
    <mergeCell ref="E921:F921"/>
    <mergeCell ref="E941:F941"/>
    <mergeCell ref="E942:F942"/>
    <mergeCell ref="E943:F943"/>
    <mergeCell ref="E944:F944"/>
    <mergeCell ref="E945:F945"/>
    <mergeCell ref="E932:F932"/>
    <mergeCell ref="E933:F933"/>
    <mergeCell ref="E934:F934"/>
    <mergeCell ref="E935:F935"/>
    <mergeCell ref="E936:F936"/>
    <mergeCell ref="E937:F937"/>
    <mergeCell ref="E938:F938"/>
    <mergeCell ref="E939:F939"/>
    <mergeCell ref="E940:F940"/>
  </mergeCells>
  <conditionalFormatting sqref="D964:D1048576 D906 D1 D3:D5 D7:D888 D894:D902 E889:E893 D908:D910">
    <cfRule type="duplicateValues" dxfId="13" priority="14"/>
  </conditionalFormatting>
  <conditionalFormatting sqref="D911:D920 D922">
    <cfRule type="duplicateValues" dxfId="12" priority="13"/>
  </conditionalFormatting>
  <conditionalFormatting sqref="D921">
    <cfRule type="duplicateValues" dxfId="11" priority="12"/>
  </conditionalFormatting>
  <conditionalFormatting sqref="D924 D927:D929">
    <cfRule type="duplicateValues" dxfId="10" priority="11"/>
  </conditionalFormatting>
  <conditionalFormatting sqref="D938:D939">
    <cfRule type="duplicateValues" dxfId="9" priority="10"/>
  </conditionalFormatting>
  <conditionalFormatting sqref="D936:D937">
    <cfRule type="duplicateValues" dxfId="8" priority="9"/>
  </conditionalFormatting>
  <conditionalFormatting sqref="D934:D935">
    <cfRule type="duplicateValues" dxfId="7" priority="8"/>
  </conditionalFormatting>
  <conditionalFormatting sqref="D932:D933">
    <cfRule type="duplicateValues" dxfId="6" priority="7"/>
  </conditionalFormatting>
  <conditionalFormatting sqref="D930:D931">
    <cfRule type="duplicateValues" dxfId="5" priority="6"/>
  </conditionalFormatting>
  <conditionalFormatting sqref="D944:D945">
    <cfRule type="duplicateValues" dxfId="4" priority="5"/>
  </conditionalFormatting>
  <conditionalFormatting sqref="D942:D943">
    <cfRule type="duplicateValues" dxfId="3" priority="4"/>
  </conditionalFormatting>
  <conditionalFormatting sqref="D940:D941">
    <cfRule type="duplicateValues" dxfId="2" priority="3"/>
  </conditionalFormatting>
  <conditionalFormatting sqref="D946">
    <cfRule type="duplicateValues" dxfId="1" priority="1"/>
  </conditionalFormatting>
  <conditionalFormatting sqref="D947:D963">
    <cfRule type="duplicateValues" dxfId="0" priority="47"/>
  </conditionalFormatting>
  <pageMargins left="0" right="0" top="0" bottom="0" header="0" footer="0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Tabung</vt:lpstr>
      <vt:lpstr>Gas</vt:lpstr>
      <vt:lpstr>Liquid</vt:lpstr>
      <vt:lpstr>Nama Barang</vt:lpstr>
      <vt:lpstr>Kran</vt:lpstr>
      <vt:lpstr>Daftar Barang dan Jasa</vt:lpstr>
      <vt:lpstr>JR_PAGE_ANCHOR_0_1</vt:lpstr>
      <vt:lpstr>Gas!Print_Area</vt:lpstr>
      <vt:lpstr>Kran!Print_Area</vt:lpstr>
      <vt:lpstr>Liquid!Print_Area</vt:lpstr>
      <vt:lpstr>Tabung!Print_Area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NISSON INDONESIA</dc:creator>
  <cp:lastModifiedBy>NISSON INDONESIA</cp:lastModifiedBy>
  <cp:lastPrinted>2023-07-06T08:33:15Z</cp:lastPrinted>
  <dcterms:created xsi:type="dcterms:W3CDTF">2021-03-17T08:35:08Z</dcterms:created>
  <dcterms:modified xsi:type="dcterms:W3CDTF">2023-10-20T08:21:49Z</dcterms:modified>
</cp:coreProperties>
</file>